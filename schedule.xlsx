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b61793\Downloads\"/>
    </mc:Choice>
  </mc:AlternateContent>
  <xr:revisionPtr revIDLastSave="0" documentId="13_ncr:1_{E883E917-8B48-4AA3-8758-A00517A23A94}" xr6:coauthVersionLast="47" xr6:coauthVersionMax="47" xr10:uidLastSave="{00000000-0000-0000-0000-000000000000}"/>
  <bookViews>
    <workbookView xWindow="10920" yWindow="-16320" windowWidth="29040" windowHeight="15720" xr2:uid="{6CDF9C0B-70A5-4127-A585-AC6B96CCF040}"/>
  </bookViews>
  <sheets>
    <sheet name="2026-11" sheetId="9" r:id="rId1"/>
    <sheet name="2026-10" sheetId="8" r:id="rId2"/>
    <sheet name="2026-09" sheetId="7" r:id="rId3"/>
    <sheet name="2026-08" sheetId="6" r:id="rId4"/>
    <sheet name="2026-07" sheetId="5" r:id="rId5"/>
    <sheet name="2026-06" sheetId="4" r:id="rId6"/>
    <sheet name="2026-05" sheetId="2" r:id="rId7"/>
    <sheet name="work_当直割当表" sheetId="3" r:id="rId8"/>
  </sheets>
  <externalReferences>
    <externalReference r:id="rId9"/>
    <externalReference r:id="rId10"/>
  </externalReferences>
  <definedNames>
    <definedName name="_xlnm.Print_Area" localSheetId="6">'2026-05'!$A$1:$AJ$39</definedName>
    <definedName name="_xlnm.Print_Area" localSheetId="5">'2026-06'!$A$1:$AJ$39</definedName>
    <definedName name="_xlnm.Print_Area" localSheetId="4">'2026-07'!$A$1:$AJ$39</definedName>
    <definedName name="_xlnm.Print_Area" localSheetId="3">'2026-08'!$A$1:$AJ$39</definedName>
    <definedName name="_xlnm.Print_Area" localSheetId="2">'2026-09'!$A$1:$AJ$39</definedName>
    <definedName name="_xlnm.Print_Area" localSheetId="1">'2026-10'!$A$1:$AJ$39</definedName>
    <definedName name="_xlnm.Print_Area" localSheetId="0">'2026-11'!$A$1:$AJ$39</definedName>
    <definedName name="祝日">[1]Sheet1!$A$3:$A$27</definedName>
    <definedName name="二次救急変換テーブル">[2]作業用!$S$57:$T$63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9" l="1"/>
  <c r="D4" i="9" s="1"/>
  <c r="B3" i="9"/>
  <c r="AI3" i="9" s="1"/>
  <c r="B2" i="9"/>
  <c r="AH3" i="8"/>
  <c r="AH4" i="8" s="1"/>
  <c r="D3" i="8"/>
  <c r="D4" i="8" s="1"/>
  <c r="B3" i="8"/>
  <c r="AI3" i="8" s="1"/>
  <c r="B2" i="8"/>
  <c r="D3" i="7"/>
  <c r="E3" i="7" s="1"/>
  <c r="B3" i="7"/>
  <c r="AI3" i="7" s="1"/>
  <c r="B2" i="7"/>
  <c r="D3" i="6"/>
  <c r="E3" i="6" s="1"/>
  <c r="B3" i="6"/>
  <c r="AI3" i="6" s="1"/>
  <c r="B2" i="6"/>
  <c r="AH3" i="5"/>
  <c r="AH4" i="5" s="1"/>
  <c r="D3" i="5"/>
  <c r="D4" i="5" s="1"/>
  <c r="B3" i="5"/>
  <c r="AI3" i="5" s="1"/>
  <c r="B2" i="5"/>
  <c r="P27" i="3"/>
  <c r="I27" i="3"/>
  <c r="AB27" i="3"/>
  <c r="AI27" i="3"/>
  <c r="AA27" i="3"/>
  <c r="AM27" i="3"/>
  <c r="H27" i="3"/>
  <c r="T27" i="3"/>
  <c r="AK27" i="3"/>
  <c r="Z27" i="3"/>
  <c r="AN27" i="3"/>
  <c r="R27" i="3"/>
  <c r="AD27" i="3"/>
  <c r="M27" i="3"/>
  <c r="AH27" i="3"/>
  <c r="V27" i="3"/>
  <c r="G27" i="3"/>
  <c r="O27" i="3"/>
  <c r="E27" i="3"/>
  <c r="D27" i="3"/>
  <c r="AE27" i="3"/>
  <c r="L27" i="3"/>
  <c r="AG27" i="3"/>
  <c r="AL27" i="3"/>
  <c r="AJ27" i="3"/>
  <c r="S27" i="3"/>
  <c r="Y27" i="3"/>
  <c r="AP27" i="3"/>
  <c r="C27" i="3"/>
  <c r="X27" i="3"/>
  <c r="K27" i="3"/>
  <c r="B27" i="3"/>
  <c r="U27" i="3"/>
  <c r="AC27" i="3"/>
  <c r="AF27" i="3"/>
  <c r="N27" i="3"/>
  <c r="F27" i="3"/>
  <c r="D3" i="4"/>
  <c r="E3" i="4" s="1"/>
  <c r="B3" i="4"/>
  <c r="AI3" i="4" s="1"/>
  <c r="B2" i="4"/>
  <c r="D3" i="2"/>
  <c r="B3" i="2"/>
  <c r="AI3" i="2" s="1"/>
  <c r="B2" i="2"/>
  <c r="E3" i="9" l="1"/>
  <c r="E3" i="8"/>
  <c r="F3" i="7"/>
  <c r="E4" i="7"/>
  <c r="D4" i="7"/>
  <c r="E4" i="6"/>
  <c r="F3" i="6"/>
  <c r="D4" i="6"/>
  <c r="E3" i="5"/>
  <c r="F3" i="4"/>
  <c r="E4" i="4"/>
  <c r="D4" i="4"/>
  <c r="D4" i="2"/>
  <c r="E3" i="2"/>
  <c r="E4" i="9" l="1"/>
  <c r="F3" i="9"/>
  <c r="E4" i="8"/>
  <c r="F3" i="8"/>
  <c r="F4" i="7"/>
  <c r="G3" i="7"/>
  <c r="F4" i="6"/>
  <c r="G3" i="6"/>
  <c r="E4" i="5"/>
  <c r="F3" i="5"/>
  <c r="F4" i="4"/>
  <c r="G3" i="4"/>
  <c r="F3" i="2"/>
  <c r="E4" i="2"/>
  <c r="F4" i="9" l="1"/>
  <c r="G3" i="9"/>
  <c r="F4" i="8"/>
  <c r="G3" i="8"/>
  <c r="G4" i="7"/>
  <c r="H3" i="7"/>
  <c r="G4" i="6"/>
  <c r="H3" i="6"/>
  <c r="F4" i="5"/>
  <c r="G3" i="5"/>
  <c r="H3" i="4"/>
  <c r="G4" i="4"/>
  <c r="F4" i="2"/>
  <c r="G3" i="2"/>
  <c r="G4" i="9" l="1"/>
  <c r="H3" i="9"/>
  <c r="G4" i="8"/>
  <c r="H3" i="8"/>
  <c r="H4" i="7"/>
  <c r="I3" i="7"/>
  <c r="H4" i="6"/>
  <c r="I3" i="6"/>
  <c r="G4" i="5"/>
  <c r="H3" i="5"/>
  <c r="H4" i="4"/>
  <c r="I3" i="4"/>
  <c r="G4" i="2"/>
  <c r="H3" i="2"/>
  <c r="I3" i="9" l="1"/>
  <c r="H4" i="9"/>
  <c r="H4" i="8"/>
  <c r="I3" i="8"/>
  <c r="I4" i="7"/>
  <c r="J3" i="7"/>
  <c r="I4" i="6"/>
  <c r="J3" i="6"/>
  <c r="I3" i="5"/>
  <c r="H4" i="5"/>
  <c r="I4" i="4"/>
  <c r="J3" i="4"/>
  <c r="H4" i="2"/>
  <c r="I3" i="2"/>
  <c r="J3" i="9" l="1"/>
  <c r="I4" i="9"/>
  <c r="I4" i="8"/>
  <c r="J3" i="8"/>
  <c r="J4" i="7"/>
  <c r="K3" i="7"/>
  <c r="J4" i="6"/>
  <c r="K3" i="6"/>
  <c r="I4" i="5"/>
  <c r="J3" i="5"/>
  <c r="J4" i="4"/>
  <c r="K3" i="4"/>
  <c r="J3" i="2"/>
  <c r="I4" i="2"/>
  <c r="K3" i="9" l="1"/>
  <c r="J4" i="9"/>
  <c r="K3" i="8"/>
  <c r="J4" i="8"/>
  <c r="L3" i="7"/>
  <c r="K4" i="7"/>
  <c r="L3" i="6"/>
  <c r="K4" i="6"/>
  <c r="K3" i="5"/>
  <c r="J4" i="5"/>
  <c r="L3" i="4"/>
  <c r="K4" i="4"/>
  <c r="K3" i="2"/>
  <c r="J4" i="2"/>
  <c r="L3" i="9" l="1"/>
  <c r="K4" i="9"/>
  <c r="L3" i="8"/>
  <c r="K4" i="8"/>
  <c r="M3" i="7"/>
  <c r="L4" i="7"/>
  <c r="M3" i="6"/>
  <c r="L4" i="6"/>
  <c r="L3" i="5"/>
  <c r="K4" i="5"/>
  <c r="M3" i="4"/>
  <c r="L4" i="4"/>
  <c r="L3" i="2"/>
  <c r="K4" i="2"/>
  <c r="M3" i="9" l="1"/>
  <c r="L4" i="9"/>
  <c r="M3" i="8"/>
  <c r="L4" i="8"/>
  <c r="N3" i="7"/>
  <c r="M4" i="7"/>
  <c r="N3" i="6"/>
  <c r="M4" i="6"/>
  <c r="M3" i="5"/>
  <c r="L4" i="5"/>
  <c r="N3" i="4"/>
  <c r="M4" i="4"/>
  <c r="M3" i="2"/>
  <c r="L4" i="2"/>
  <c r="N3" i="9" l="1"/>
  <c r="M4" i="9"/>
  <c r="M4" i="8"/>
  <c r="N3" i="8"/>
  <c r="O3" i="7"/>
  <c r="N4" i="7"/>
  <c r="N4" i="6"/>
  <c r="O3" i="6"/>
  <c r="N3" i="5"/>
  <c r="M4" i="5"/>
  <c r="N4" i="4"/>
  <c r="O3" i="4"/>
  <c r="M4" i="2"/>
  <c r="N3" i="2"/>
  <c r="N4" i="9" l="1"/>
  <c r="O3" i="9"/>
  <c r="O3" i="8"/>
  <c r="N4" i="8"/>
  <c r="P3" i="7"/>
  <c r="O4" i="7"/>
  <c r="P3" i="6"/>
  <c r="O4" i="6"/>
  <c r="N4" i="5"/>
  <c r="O3" i="5"/>
  <c r="P3" i="4"/>
  <c r="O4" i="4"/>
  <c r="O3" i="2"/>
  <c r="N4" i="2"/>
  <c r="O4" i="9" l="1"/>
  <c r="P3" i="9"/>
  <c r="P3" i="8"/>
  <c r="O4" i="8"/>
  <c r="Q3" i="7"/>
  <c r="P4" i="7"/>
  <c r="Q3" i="6"/>
  <c r="P4" i="6"/>
  <c r="P3" i="5"/>
  <c r="O4" i="5"/>
  <c r="Q3" i="4"/>
  <c r="P4" i="4"/>
  <c r="P3" i="2"/>
  <c r="O4" i="2"/>
  <c r="P4" i="9" l="1"/>
  <c r="Q3" i="9"/>
  <c r="P4" i="8"/>
  <c r="Q3" i="8"/>
  <c r="R3" i="7"/>
  <c r="Q4" i="7"/>
  <c r="Q4" i="6"/>
  <c r="R3" i="6"/>
  <c r="P4" i="5"/>
  <c r="Q3" i="5"/>
  <c r="R3" i="4"/>
  <c r="Q4" i="4"/>
  <c r="P4" i="2"/>
  <c r="Q3" i="2"/>
  <c r="Q4" i="9" l="1"/>
  <c r="R3" i="9"/>
  <c r="Q4" i="8"/>
  <c r="R3" i="8"/>
  <c r="R4" i="7"/>
  <c r="S3" i="7"/>
  <c r="R4" i="6"/>
  <c r="S3" i="6"/>
  <c r="Q4" i="5"/>
  <c r="R3" i="5"/>
  <c r="R4" i="4"/>
  <c r="S3" i="4"/>
  <c r="Q4" i="2"/>
  <c r="R3" i="2"/>
  <c r="R4" i="9" l="1"/>
  <c r="S3" i="9"/>
  <c r="R4" i="8"/>
  <c r="S3" i="8"/>
  <c r="S4" i="7"/>
  <c r="T3" i="7"/>
  <c r="S4" i="6"/>
  <c r="T3" i="6"/>
  <c r="R4" i="5"/>
  <c r="S3" i="5"/>
  <c r="T3" i="4"/>
  <c r="S4" i="4"/>
  <c r="R4" i="2"/>
  <c r="S3" i="2"/>
  <c r="S4" i="9" l="1"/>
  <c r="T3" i="9"/>
  <c r="T3" i="8"/>
  <c r="S4" i="8"/>
  <c r="T4" i="7"/>
  <c r="U3" i="7"/>
  <c r="T4" i="6"/>
  <c r="U3" i="6"/>
  <c r="S4" i="5"/>
  <c r="T3" i="5"/>
  <c r="T4" i="4"/>
  <c r="U3" i="4"/>
  <c r="S4" i="2"/>
  <c r="T3" i="2"/>
  <c r="U3" i="9" l="1"/>
  <c r="T4" i="9"/>
  <c r="T4" i="8"/>
  <c r="U3" i="8"/>
  <c r="U4" i="7"/>
  <c r="V3" i="7"/>
  <c r="U4" i="6"/>
  <c r="V3" i="6"/>
  <c r="U3" i="5"/>
  <c r="T4" i="5"/>
  <c r="U4" i="4"/>
  <c r="V3" i="4"/>
  <c r="U3" i="2"/>
  <c r="T4" i="2"/>
  <c r="V3" i="9" l="1"/>
  <c r="U4" i="9"/>
  <c r="U4" i="8"/>
  <c r="V3" i="8"/>
  <c r="V4" i="7"/>
  <c r="W3" i="7"/>
  <c r="V4" i="6"/>
  <c r="W3" i="6"/>
  <c r="U4" i="5"/>
  <c r="V3" i="5"/>
  <c r="V4" i="4"/>
  <c r="W3" i="4"/>
  <c r="V3" i="2"/>
  <c r="U4" i="2"/>
  <c r="W3" i="9" l="1"/>
  <c r="V4" i="9"/>
  <c r="W3" i="8"/>
  <c r="V4" i="8"/>
  <c r="X3" i="7"/>
  <c r="W4" i="7"/>
  <c r="X3" i="6"/>
  <c r="W4" i="6"/>
  <c r="W3" i="5"/>
  <c r="V4" i="5"/>
  <c r="X3" i="4"/>
  <c r="W4" i="4"/>
  <c r="W3" i="2"/>
  <c r="V4" i="2"/>
  <c r="X3" i="9" l="1"/>
  <c r="W4" i="9"/>
  <c r="X3" i="8"/>
  <c r="W4" i="8"/>
  <c r="Y3" i="7"/>
  <c r="X4" i="7"/>
  <c r="Y3" i="6"/>
  <c r="X4" i="6"/>
  <c r="X3" i="5"/>
  <c r="W4" i="5"/>
  <c r="Y3" i="4"/>
  <c r="X4" i="4"/>
  <c r="X3" i="2"/>
  <c r="W4" i="2"/>
  <c r="Y3" i="9" l="1"/>
  <c r="X4" i="9"/>
  <c r="Y3" i="8"/>
  <c r="X4" i="8"/>
  <c r="Z3" i="7"/>
  <c r="Y4" i="7"/>
  <c r="Y4" i="6"/>
  <c r="Z3" i="6"/>
  <c r="Y3" i="5"/>
  <c r="X4" i="5"/>
  <c r="Z3" i="4"/>
  <c r="Y4" i="4"/>
  <c r="Y3" i="2"/>
  <c r="X4" i="2"/>
  <c r="Z3" i="9" l="1"/>
  <c r="Y4" i="9"/>
  <c r="Y4" i="8"/>
  <c r="Z3" i="8"/>
  <c r="AA3" i="7"/>
  <c r="Z4" i="7"/>
  <c r="Z4" i="6"/>
  <c r="AA3" i="6"/>
  <c r="Z3" i="5"/>
  <c r="Y4" i="5"/>
  <c r="Z4" i="4"/>
  <c r="AA3" i="4"/>
  <c r="Z3" i="2"/>
  <c r="Y4" i="2"/>
  <c r="Z4" i="9" l="1"/>
  <c r="AA3" i="9"/>
  <c r="AA3" i="8"/>
  <c r="Z4" i="8"/>
  <c r="AB3" i="7"/>
  <c r="AA4" i="7"/>
  <c r="AB3" i="6"/>
  <c r="AA4" i="6"/>
  <c r="Z4" i="5"/>
  <c r="AA3" i="5"/>
  <c r="AB3" i="4"/>
  <c r="AA4" i="4"/>
  <c r="AA3" i="2"/>
  <c r="Z4" i="2"/>
  <c r="AA4" i="9" l="1"/>
  <c r="AB3" i="9"/>
  <c r="AB3" i="8"/>
  <c r="AA4" i="8"/>
  <c r="AC3" i="7"/>
  <c r="AB4" i="7"/>
  <c r="AC3" i="6"/>
  <c r="AB4" i="6"/>
  <c r="AB3" i="5"/>
  <c r="AA4" i="5"/>
  <c r="AC3" i="4"/>
  <c r="AB4" i="4"/>
  <c r="AA4" i="2"/>
  <c r="AB3" i="2"/>
  <c r="AB4" i="9" l="1"/>
  <c r="AC3" i="9"/>
  <c r="AB4" i="8"/>
  <c r="AC3" i="8"/>
  <c r="AD3" i="7"/>
  <c r="AC4" i="7"/>
  <c r="AC4" i="6"/>
  <c r="AD3" i="6"/>
  <c r="AB4" i="5"/>
  <c r="AC3" i="5"/>
  <c r="AD3" i="4"/>
  <c r="AC4" i="4"/>
  <c r="AB4" i="2"/>
  <c r="AC3" i="2"/>
  <c r="AC4" i="9" l="1"/>
  <c r="AD3" i="9"/>
  <c r="AC4" i="8"/>
  <c r="AD3" i="8"/>
  <c r="AD4" i="7"/>
  <c r="AE3" i="7"/>
  <c r="AD4" i="6"/>
  <c r="AE3" i="6"/>
  <c r="AC4" i="5"/>
  <c r="AD3" i="5"/>
  <c r="AD4" i="4"/>
  <c r="AE3" i="4"/>
  <c r="AC4" i="2"/>
  <c r="AD3" i="2"/>
  <c r="AD4" i="9" l="1"/>
  <c r="AE3" i="9"/>
  <c r="AD4" i="8"/>
  <c r="AE3" i="8"/>
  <c r="AE4" i="7"/>
  <c r="AF3" i="7"/>
  <c r="AE4" i="6"/>
  <c r="AF3" i="6"/>
  <c r="AD4" i="5"/>
  <c r="AE3" i="5"/>
  <c r="AE4" i="4"/>
  <c r="AF3" i="4"/>
  <c r="AD4" i="2"/>
  <c r="AE3" i="2"/>
  <c r="AE4" i="9" l="1"/>
  <c r="AF3" i="9"/>
  <c r="AF3" i="8"/>
  <c r="AE4" i="8"/>
  <c r="AF4" i="7"/>
  <c r="AG3" i="7"/>
  <c r="AF4" i="6"/>
  <c r="AG3" i="6"/>
  <c r="AE4" i="5"/>
  <c r="AF3" i="5"/>
  <c r="AF4" i="4"/>
  <c r="AG3" i="4"/>
  <c r="AE4" i="2"/>
  <c r="AF3" i="2"/>
  <c r="AG3" i="9" l="1"/>
  <c r="AF4" i="9"/>
  <c r="AF4" i="8"/>
  <c r="AG3" i="8"/>
  <c r="AG4" i="8" s="1"/>
  <c r="AG4" i="7"/>
  <c r="AG4" i="6"/>
  <c r="AH3" i="6"/>
  <c r="AH4" i="6" s="1"/>
  <c r="AF4" i="5"/>
  <c r="AG3" i="5"/>
  <c r="AG4" i="5" s="1"/>
  <c r="AG4" i="4"/>
  <c r="AF4" i="2"/>
  <c r="AG3" i="2"/>
  <c r="AG4" i="9" l="1"/>
  <c r="AG4" i="2"/>
  <c r="AH3" i="2"/>
  <c r="AH4" i="2" s="1"/>
</calcChain>
</file>

<file path=xl/sharedStrings.xml><?xml version="1.0" encoding="utf-8"?>
<sst xmlns="http://schemas.openxmlformats.org/spreadsheetml/2006/main" count="6436" uniqueCount="744">
  <si>
    <t>小児</t>
  </si>
  <si>
    <t/>
  </si>
  <si>
    <t>ACS</t>
  </si>
  <si>
    <t>精神</t>
  </si>
  <si>
    <t>〇</t>
  </si>
  <si>
    <t>休</t>
  </si>
  <si>
    <t>●*</t>
  </si>
  <si>
    <t>明</t>
  </si>
  <si>
    <t>〇*</t>
  </si>
  <si>
    <t>小舘　旭</t>
  </si>
  <si>
    <t>●</t>
  </si>
  <si>
    <t>原　雄大</t>
    <rPh sb="0" eb="1">
      <t>ハラ</t>
    </rPh>
    <rPh sb="2" eb="4">
      <t>ユウダイ</t>
    </rPh>
    <phoneticPr fontId="1"/>
  </si>
  <si>
    <t>日直</t>
    <rPh sb="0" eb="2">
      <t>ニッチョク</t>
    </rPh>
    <phoneticPr fontId="8"/>
  </si>
  <si>
    <t>鈴木</t>
  </si>
  <si>
    <t>当直</t>
    <rPh sb="0" eb="2">
      <t>トウチョク</t>
    </rPh>
    <phoneticPr fontId="4"/>
  </si>
  <si>
    <t>細川</t>
  </si>
  <si>
    <t>梅本</t>
  </si>
  <si>
    <t>幡</t>
  </si>
  <si>
    <t>内藤</t>
  </si>
  <si>
    <t>鹿野</t>
  </si>
  <si>
    <t>オンコール</t>
  </si>
  <si>
    <t>仙北</t>
  </si>
  <si>
    <t>出口</t>
  </si>
  <si>
    <t>樋口</t>
  </si>
  <si>
    <t>池邉</t>
  </si>
  <si>
    <t>菅野</t>
  </si>
  <si>
    <t>呼外</t>
  </si>
  <si>
    <t>耳鼻</t>
  </si>
  <si>
    <t>消内</t>
  </si>
  <si>
    <t>血内</t>
  </si>
  <si>
    <t>心外</t>
  </si>
  <si>
    <t>リウ</t>
  </si>
  <si>
    <t>神内</t>
  </si>
  <si>
    <t>糖内</t>
  </si>
  <si>
    <t>放治</t>
  </si>
  <si>
    <t>櫻庭</t>
  </si>
  <si>
    <t>中村</t>
  </si>
  <si>
    <t>山本</t>
  </si>
  <si>
    <t>片岡</t>
  </si>
  <si>
    <t>小原</t>
  </si>
  <si>
    <t>中田</t>
  </si>
  <si>
    <t>佐々木</t>
  </si>
  <si>
    <t>三浦</t>
  </si>
  <si>
    <t>下井</t>
  </si>
  <si>
    <t>形成</t>
  </si>
  <si>
    <t>腎外</t>
  </si>
  <si>
    <t>脳外</t>
  </si>
  <si>
    <t>救急</t>
  </si>
  <si>
    <t>呼内</t>
  </si>
  <si>
    <t>臨研</t>
  </si>
  <si>
    <t>泌尿</t>
  </si>
  <si>
    <t>皮膚</t>
  </si>
  <si>
    <t>眼科</t>
  </si>
  <si>
    <t>整形</t>
  </si>
  <si>
    <t>腎内</t>
  </si>
  <si>
    <t>七戸</t>
  </si>
  <si>
    <t>堀田</t>
  </si>
  <si>
    <t>福原</t>
  </si>
  <si>
    <t>佐藤智</t>
  </si>
  <si>
    <t>皆内</t>
  </si>
  <si>
    <t>吉田匠</t>
  </si>
  <si>
    <t>松田</t>
  </si>
  <si>
    <t>丸尾</t>
  </si>
  <si>
    <t>早坂</t>
  </si>
  <si>
    <t>小川</t>
  </si>
  <si>
    <t>布村</t>
  </si>
  <si>
    <t>高島</t>
  </si>
  <si>
    <t>産婦人科</t>
    <rPh sb="0" eb="4">
      <t>サンフジンカ</t>
    </rPh>
    <phoneticPr fontId="6"/>
  </si>
  <si>
    <t>山口</t>
    <rPh sb="0" eb="2">
      <t>ヤマグチ</t>
    </rPh>
    <phoneticPr fontId="7"/>
  </si>
  <si>
    <t>WIND</t>
  </si>
  <si>
    <t>中村</t>
    <rPh sb="0" eb="2">
      <t>ナカムラ</t>
    </rPh>
    <phoneticPr fontId="7"/>
  </si>
  <si>
    <t>川端</t>
    <rPh sb="0" eb="2">
      <t>カワバタ</t>
    </rPh>
    <phoneticPr fontId="4"/>
  </si>
  <si>
    <t>平山</t>
    <rPh sb="0" eb="2">
      <t>ヒラヤマ</t>
    </rPh>
    <phoneticPr fontId="7"/>
  </si>
  <si>
    <t>渡邊</t>
  </si>
  <si>
    <t>佐多</t>
  </si>
  <si>
    <t>二次輪番</t>
    <phoneticPr fontId="6"/>
  </si>
  <si>
    <t>臨検</t>
    <phoneticPr fontId="6"/>
  </si>
  <si>
    <t>循環器</t>
    <phoneticPr fontId="6"/>
  </si>
  <si>
    <t>日直</t>
    <phoneticPr fontId="8"/>
  </si>
  <si>
    <t>当直</t>
    <phoneticPr fontId="4"/>
  </si>
  <si>
    <t>精神科</t>
    <phoneticPr fontId="6"/>
  </si>
  <si>
    <t>院内日直
（日勤）</t>
    <phoneticPr fontId="6"/>
  </si>
  <si>
    <t>研修医</t>
    <phoneticPr fontId="6"/>
  </si>
  <si>
    <t>指導医</t>
    <phoneticPr fontId="6"/>
  </si>
  <si>
    <t>院内当直
（夜勤）</t>
    <phoneticPr fontId="6"/>
  </si>
  <si>
    <t>提嶋　久子</t>
    <rPh sb="0" eb="2">
      <t>サゲシマ</t>
    </rPh>
    <rPh sb="3" eb="5">
      <t>ヒサコ</t>
    </rPh>
    <phoneticPr fontId="2"/>
  </si>
  <si>
    <t>遠藤　晃生</t>
    <rPh sb="0" eb="2">
      <t>エンドウ</t>
    </rPh>
    <rPh sb="3" eb="4">
      <t>アキラ</t>
    </rPh>
    <rPh sb="4" eb="5">
      <t>セイ</t>
    </rPh>
    <phoneticPr fontId="2"/>
  </si>
  <si>
    <t>前川　邦彦</t>
    <rPh sb="0" eb="2">
      <t>マエカワ</t>
    </rPh>
    <rPh sb="3" eb="5">
      <t>クニヒコ</t>
    </rPh>
    <phoneticPr fontId="1"/>
  </si>
  <si>
    <t>森木　耕陽</t>
    <rPh sb="0" eb="2">
      <t>モリキ</t>
    </rPh>
    <rPh sb="3" eb="5">
      <t>コウヨウ</t>
    </rPh>
    <phoneticPr fontId="1"/>
  </si>
  <si>
    <t>中嶋　拓磨</t>
    <rPh sb="0" eb="2">
      <t>ナカジマ</t>
    </rPh>
    <rPh sb="3" eb="5">
      <t>タクマ</t>
    </rPh>
    <phoneticPr fontId="1"/>
  </si>
  <si>
    <t>福原　侑真</t>
    <rPh sb="0" eb="2">
      <t>フクハラ</t>
    </rPh>
    <rPh sb="3" eb="5">
      <t>ユウマ</t>
    </rPh>
    <phoneticPr fontId="1"/>
  </si>
  <si>
    <t>富田　源</t>
    <rPh sb="0" eb="2">
      <t>トミタ</t>
    </rPh>
    <rPh sb="3" eb="4">
      <t>ゲン</t>
    </rPh>
    <phoneticPr fontId="1"/>
  </si>
  <si>
    <t>上島優太朗</t>
    <rPh sb="0" eb="2">
      <t>ウエシマ</t>
    </rPh>
    <rPh sb="2" eb="5">
      <t>ユウタロウ</t>
    </rPh>
    <phoneticPr fontId="1"/>
  </si>
  <si>
    <t>北大</t>
    <rPh sb="0" eb="2">
      <t>ホクダイ</t>
    </rPh>
    <phoneticPr fontId="1"/>
  </si>
  <si>
    <t>〇   学会</t>
  </si>
  <si>
    <t>●*　</t>
    <phoneticPr fontId="10"/>
  </si>
  <si>
    <t>明</t>
    <phoneticPr fontId="10"/>
  </si>
  <si>
    <t>●*</t>
    <phoneticPr fontId="10"/>
  </si>
  <si>
    <t>㉕*</t>
    <phoneticPr fontId="10"/>
  </si>
  <si>
    <t>㉕</t>
    <phoneticPr fontId="10"/>
  </si>
  <si>
    <t>完山　百合乃</t>
    <phoneticPr fontId="1"/>
  </si>
  <si>
    <t>週休日</t>
    <rPh sb="0" eb="3">
      <t>シュウキュウビ</t>
    </rPh>
    <phoneticPr fontId="11"/>
  </si>
  <si>
    <t>休日</t>
    <rPh sb="0" eb="2">
      <t>キュウジツ</t>
    </rPh>
    <phoneticPr fontId="11"/>
  </si>
  <si>
    <t>日直</t>
    <rPh sb="0" eb="2">
      <t>ニッチョク</t>
    </rPh>
    <phoneticPr fontId="11"/>
  </si>
  <si>
    <t>明け</t>
    <rPh sb="0" eb="1">
      <t>ア</t>
    </rPh>
    <phoneticPr fontId="11"/>
  </si>
  <si>
    <t>年休</t>
    <rPh sb="0" eb="2">
      <t>ネンキュウ</t>
    </rPh>
    <phoneticPr fontId="11"/>
  </si>
  <si>
    <t>臨研</t>
    <rPh sb="0" eb="2">
      <t>リンケン</t>
    </rPh>
    <phoneticPr fontId="11"/>
  </si>
  <si>
    <t>日</t>
  </si>
  <si>
    <t>金</t>
  </si>
  <si>
    <t>太刀川</t>
  </si>
  <si>
    <t>小舘</t>
    <phoneticPr fontId="15"/>
  </si>
  <si>
    <t>牧野</t>
    <rPh sb="0" eb="2">
      <t>マキノ</t>
    </rPh>
    <phoneticPr fontId="15"/>
  </si>
  <si>
    <t>外科</t>
  </si>
  <si>
    <t>上坂</t>
  </si>
  <si>
    <t>大塚</t>
  </si>
  <si>
    <t>内村</t>
    <rPh sb="0" eb="2">
      <t>ウチムラ</t>
    </rPh>
    <phoneticPr fontId="15"/>
  </si>
  <si>
    <t>堀内</t>
  </si>
  <si>
    <t>臼渕</t>
  </si>
  <si>
    <t>森木</t>
    <phoneticPr fontId="15"/>
  </si>
  <si>
    <t>中嶋</t>
    <phoneticPr fontId="15"/>
  </si>
  <si>
    <t>原</t>
    <phoneticPr fontId="15"/>
  </si>
  <si>
    <t>村井</t>
    <rPh sb="0" eb="2">
      <t>ムライ</t>
    </rPh>
    <phoneticPr fontId="15"/>
  </si>
  <si>
    <t>細川</t>
    <phoneticPr fontId="15"/>
  </si>
  <si>
    <t>境</t>
  </si>
  <si>
    <t>杉山</t>
    <rPh sb="0" eb="2">
      <t>スギヤマ</t>
    </rPh>
    <phoneticPr fontId="15"/>
  </si>
  <si>
    <t>提嶋</t>
    <phoneticPr fontId="15"/>
  </si>
  <si>
    <t>上島</t>
    <phoneticPr fontId="15"/>
  </si>
  <si>
    <t>川原</t>
  </si>
  <si>
    <t>石田</t>
  </si>
  <si>
    <t>宮田</t>
  </si>
  <si>
    <t>横式</t>
    <rPh sb="0" eb="2">
      <t>ヨコシキ</t>
    </rPh>
    <phoneticPr fontId="15"/>
  </si>
  <si>
    <t>梅本</t>
    <phoneticPr fontId="15"/>
  </si>
  <si>
    <t>後藤瑞</t>
  </si>
  <si>
    <t>中原</t>
  </si>
  <si>
    <t>吉成</t>
    <rPh sb="0" eb="2">
      <t>ヨシナリ</t>
    </rPh>
    <phoneticPr fontId="15"/>
  </si>
  <si>
    <t>阿部</t>
    <phoneticPr fontId="15"/>
  </si>
  <si>
    <t>森</t>
  </si>
  <si>
    <t>鹿野</t>
    <phoneticPr fontId="15"/>
  </si>
  <si>
    <t>藤原</t>
  </si>
  <si>
    <t>関</t>
    <rPh sb="0" eb="1">
      <t>セキ</t>
    </rPh>
    <phoneticPr fontId="15"/>
  </si>
  <si>
    <t>金野</t>
  </si>
  <si>
    <t>月</t>
  </si>
  <si>
    <t>鳥羽</t>
    <rPh sb="0" eb="2">
      <t>トバ</t>
    </rPh>
    <phoneticPr fontId="15"/>
  </si>
  <si>
    <t>内藤</t>
    <phoneticPr fontId="15"/>
  </si>
  <si>
    <t>水口</t>
  </si>
  <si>
    <t>近藤</t>
    <rPh sb="0" eb="2">
      <t>コンドウ</t>
    </rPh>
    <phoneticPr fontId="15"/>
  </si>
  <si>
    <t>那須</t>
  </si>
  <si>
    <t>古堂</t>
  </si>
  <si>
    <t>遠藤</t>
    <phoneticPr fontId="15"/>
  </si>
  <si>
    <t>福原</t>
    <phoneticPr fontId="15"/>
  </si>
  <si>
    <t>高橋</t>
  </si>
  <si>
    <t>斉藤駿</t>
  </si>
  <si>
    <t>八木</t>
    <rPh sb="0" eb="2">
      <t>ヤギ</t>
    </rPh>
    <phoneticPr fontId="15"/>
  </si>
  <si>
    <t>岡</t>
    <phoneticPr fontId="15"/>
  </si>
  <si>
    <t>板坂</t>
  </si>
  <si>
    <t>火</t>
  </si>
  <si>
    <t>本村</t>
  </si>
  <si>
    <t>前川</t>
    <phoneticPr fontId="15"/>
  </si>
  <si>
    <t>鈴木</t>
    <rPh sb="0" eb="2">
      <t>スズキ</t>
    </rPh>
    <phoneticPr fontId="15"/>
  </si>
  <si>
    <t>稲村</t>
  </si>
  <si>
    <t>幡</t>
    <phoneticPr fontId="15"/>
  </si>
  <si>
    <t>若山</t>
  </si>
  <si>
    <t>本間</t>
  </si>
  <si>
    <t>荒川</t>
  </si>
  <si>
    <t>岩崎</t>
  </si>
  <si>
    <t>三浦み</t>
    <rPh sb="0" eb="2">
      <t>ミウラ</t>
    </rPh>
    <phoneticPr fontId="15"/>
  </si>
  <si>
    <t>小田野</t>
    <phoneticPr fontId="15"/>
  </si>
  <si>
    <t>猫宮</t>
  </si>
  <si>
    <t>水</t>
  </si>
  <si>
    <t>齋藤</t>
  </si>
  <si>
    <t>濱口</t>
    <rPh sb="0" eb="2">
      <t>ハマグチ</t>
    </rPh>
    <phoneticPr fontId="15"/>
  </si>
  <si>
    <t>田邉</t>
  </si>
  <si>
    <t>薮田</t>
  </si>
  <si>
    <t>渡邉</t>
  </si>
  <si>
    <t>末永</t>
  </si>
  <si>
    <t>柳清</t>
  </si>
  <si>
    <t>今谷</t>
  </si>
  <si>
    <t>横山</t>
    <rPh sb="0" eb="2">
      <t>ヨコヤマ</t>
    </rPh>
    <phoneticPr fontId="15"/>
  </si>
  <si>
    <t>木</t>
  </si>
  <si>
    <t>三次</t>
  </si>
  <si>
    <t>塚本</t>
  </si>
  <si>
    <t>矢野</t>
    <rPh sb="0" eb="2">
      <t>ヤノ</t>
    </rPh>
    <phoneticPr fontId="15"/>
  </si>
  <si>
    <t>村上</t>
    <phoneticPr fontId="15"/>
  </si>
  <si>
    <t>浅川</t>
    <rPh sb="0" eb="2">
      <t>アサカワ</t>
    </rPh>
    <phoneticPr fontId="15"/>
  </si>
  <si>
    <t>三浪</t>
  </si>
  <si>
    <t>恩地</t>
  </si>
  <si>
    <t>田中真</t>
    <phoneticPr fontId="15"/>
  </si>
  <si>
    <t>佐野</t>
  </si>
  <si>
    <t>吉田</t>
  </si>
  <si>
    <t>高橋蓮</t>
  </si>
  <si>
    <t>岩田</t>
  </si>
  <si>
    <t>村上</t>
    <rPh sb="0" eb="2">
      <t>ムラカミ</t>
    </rPh>
    <phoneticPr fontId="15"/>
  </si>
  <si>
    <t>菅原</t>
    <phoneticPr fontId="15"/>
  </si>
  <si>
    <t>前中</t>
  </si>
  <si>
    <t>新井</t>
  </si>
  <si>
    <t>砂原</t>
  </si>
  <si>
    <t>伊藤</t>
  </si>
  <si>
    <t>谷本</t>
    <rPh sb="0" eb="2">
      <t>タニモト</t>
    </rPh>
    <phoneticPr fontId="15"/>
  </si>
  <si>
    <t>藤田</t>
  </si>
  <si>
    <t>加賀幸</t>
    <rPh sb="0" eb="3">
      <t>カガユキ</t>
    </rPh>
    <phoneticPr fontId="15"/>
  </si>
  <si>
    <t>佐藤</t>
  </si>
  <si>
    <t>田澤</t>
    <rPh sb="0" eb="2">
      <t>タザワ</t>
    </rPh>
    <phoneticPr fontId="15"/>
  </si>
  <si>
    <t>池田</t>
    <phoneticPr fontId="15"/>
  </si>
  <si>
    <t>木井</t>
  </si>
  <si>
    <t>高橋萌</t>
    <rPh sb="0" eb="2">
      <t>タカハシ</t>
    </rPh>
    <rPh sb="2" eb="3">
      <t>モ</t>
    </rPh>
    <phoneticPr fontId="15"/>
  </si>
  <si>
    <t>田中</t>
  </si>
  <si>
    <t>三上</t>
  </si>
  <si>
    <t>松平</t>
    <rPh sb="0" eb="2">
      <t>マツダイラ</t>
    </rPh>
    <phoneticPr fontId="15"/>
  </si>
  <si>
    <t>奥山</t>
    <phoneticPr fontId="15"/>
  </si>
  <si>
    <t>緩和</t>
  </si>
  <si>
    <t>原田</t>
  </si>
  <si>
    <t>高橋正</t>
    <phoneticPr fontId="15"/>
  </si>
  <si>
    <t>山下</t>
  </si>
  <si>
    <t>大井</t>
    <rPh sb="0" eb="2">
      <t>オオイ</t>
    </rPh>
    <phoneticPr fontId="15"/>
  </si>
  <si>
    <t>牧田</t>
  </si>
  <si>
    <t>石田</t>
    <rPh sb="0" eb="2">
      <t>イシダ</t>
    </rPh>
    <phoneticPr fontId="15"/>
  </si>
  <si>
    <t>多田</t>
  </si>
  <si>
    <t>大畑</t>
  </si>
  <si>
    <t>只野</t>
    <phoneticPr fontId="15"/>
  </si>
  <si>
    <t>渡辺</t>
  </si>
  <si>
    <t>島田</t>
  </si>
  <si>
    <t>村井</t>
    <phoneticPr fontId="15"/>
  </si>
  <si>
    <t>氏橋</t>
  </si>
  <si>
    <t>菅原</t>
  </si>
  <si>
    <t>高澤</t>
    <phoneticPr fontId="15"/>
  </si>
  <si>
    <t>笠原</t>
  </si>
  <si>
    <t>八木</t>
  </si>
  <si>
    <t>金子</t>
    <phoneticPr fontId="15"/>
  </si>
  <si>
    <t>内山</t>
    <rPh sb="0" eb="2">
      <t>ウチヤマ</t>
    </rPh>
    <phoneticPr fontId="15"/>
  </si>
  <si>
    <t>高橋悠</t>
    <phoneticPr fontId="15"/>
  </si>
  <si>
    <t>松山</t>
    <rPh sb="0" eb="2">
      <t>マツヤマ</t>
    </rPh>
    <phoneticPr fontId="15"/>
  </si>
  <si>
    <t>川名</t>
    <phoneticPr fontId="15"/>
  </si>
  <si>
    <t>坂下</t>
  </si>
  <si>
    <t>小松</t>
  </si>
  <si>
    <t>生出</t>
  </si>
  <si>
    <t>瀬尾</t>
  </si>
  <si>
    <t>中山</t>
  </si>
  <si>
    <t>田口</t>
    <rPh sb="0" eb="2">
      <t>タグチ</t>
    </rPh>
    <phoneticPr fontId="15"/>
  </si>
  <si>
    <t>養田</t>
  </si>
  <si>
    <t>川上</t>
    <rPh sb="0" eb="2">
      <t>カワカミ</t>
    </rPh>
    <phoneticPr fontId="15"/>
  </si>
  <si>
    <t>澤井</t>
    <rPh sb="0" eb="2">
      <t>サワイ</t>
    </rPh>
    <phoneticPr fontId="15"/>
  </si>
  <si>
    <t>小石</t>
  </si>
  <si>
    <t>近藤</t>
  </si>
  <si>
    <t>梅原</t>
    <rPh sb="0" eb="2">
      <t>ウメハラ</t>
    </rPh>
    <phoneticPr fontId="15"/>
  </si>
  <si>
    <t>岸田</t>
  </si>
  <si>
    <t>三浦あ</t>
    <rPh sb="0" eb="2">
      <t>ミウラ</t>
    </rPh>
    <phoneticPr fontId="15"/>
  </si>
  <si>
    <t>山中</t>
  </si>
  <si>
    <t>日</t>
    <rPh sb="0" eb="1">
      <t>ニチ</t>
    </rPh>
    <phoneticPr fontId="7"/>
  </si>
  <si>
    <t>曜日</t>
    <rPh sb="0" eb="2">
      <t>ヨウビ</t>
    </rPh>
    <phoneticPr fontId="7"/>
  </si>
  <si>
    <t>一般</t>
    <rPh sb="0" eb="2">
      <t>イッパン</t>
    </rPh>
    <phoneticPr fontId="7"/>
  </si>
  <si>
    <t>救急</t>
    <rPh sb="0" eb="2">
      <t>キュウキュウ</t>
    </rPh>
    <phoneticPr fontId="7"/>
  </si>
  <si>
    <t>CCU</t>
    <phoneticPr fontId="7"/>
  </si>
  <si>
    <t>4F西ハイケア</t>
    <rPh sb="2" eb="3">
      <t>ニシ</t>
    </rPh>
    <phoneticPr fontId="7"/>
  </si>
  <si>
    <t>精神</t>
    <rPh sb="0" eb="2">
      <t>セイシン</t>
    </rPh>
    <phoneticPr fontId="7"/>
  </si>
  <si>
    <t>研修医</t>
    <rPh sb="0" eb="3">
      <t>ケンシュウイ</t>
    </rPh>
    <phoneticPr fontId="7"/>
  </si>
  <si>
    <t>薬剤部</t>
    <rPh sb="0" eb="3">
      <t>ヤクザイブ</t>
    </rPh>
    <phoneticPr fontId="7"/>
  </si>
  <si>
    <t>放射線部</t>
    <rPh sb="0" eb="4">
      <t>ホウシャセンブ</t>
    </rPh>
    <phoneticPr fontId="7"/>
  </si>
  <si>
    <t>検査部</t>
    <rPh sb="0" eb="3">
      <t>ケンサブ</t>
    </rPh>
    <phoneticPr fontId="7"/>
  </si>
  <si>
    <t>看護部（管理）</t>
    <rPh sb="0" eb="3">
      <t>カンゴブ</t>
    </rPh>
    <rPh sb="4" eb="6">
      <t>カンリ</t>
    </rPh>
    <phoneticPr fontId="7"/>
  </si>
  <si>
    <t>臨床工学</t>
    <rPh sb="0" eb="4">
      <t>リンショウコウガク</t>
    </rPh>
    <phoneticPr fontId="7"/>
  </si>
  <si>
    <t>事務</t>
    <rPh sb="0" eb="2">
      <t>ジム</t>
    </rPh>
    <phoneticPr fontId="7"/>
  </si>
  <si>
    <t>振分</t>
    <rPh sb="0" eb="2">
      <t>フリワケ</t>
    </rPh>
    <phoneticPr fontId="7"/>
  </si>
  <si>
    <t>二次救急</t>
    <rPh sb="0" eb="4">
      <t>ニジキュウキュウ</t>
    </rPh>
    <phoneticPr fontId="7"/>
  </si>
  <si>
    <t>北大玉置</t>
    <rPh sb="2" eb="4">
      <t>タマキ</t>
    </rPh>
    <phoneticPr fontId="15"/>
  </si>
  <si>
    <t>北大佐々木</t>
    <rPh sb="2" eb="5">
      <t>ササキ</t>
    </rPh>
    <phoneticPr fontId="15"/>
  </si>
  <si>
    <t>佐藤太</t>
  </si>
  <si>
    <t>菅原基</t>
  </si>
  <si>
    <t>奥田貴</t>
  </si>
  <si>
    <t>佐藤貴</t>
  </si>
  <si>
    <t>1年</t>
    <rPh sb="1" eb="2">
      <t>ネン</t>
    </rPh>
    <phoneticPr fontId="6"/>
  </si>
  <si>
    <t>2年</t>
    <rPh sb="1" eb="2">
      <t>ネン</t>
    </rPh>
    <phoneticPr fontId="6"/>
  </si>
  <si>
    <t>京野</t>
  </si>
  <si>
    <t>齊藤萌</t>
  </si>
  <si>
    <t>齋藤大</t>
  </si>
  <si>
    <t>小田島</t>
  </si>
  <si>
    <t>光島</t>
  </si>
  <si>
    <t>菊池</t>
  </si>
  <si>
    <t>谷口</t>
  </si>
  <si>
    <t>完山</t>
  </si>
  <si>
    <t>西原</t>
  </si>
  <si>
    <t>木村</t>
  </si>
  <si>
    <t>浅島</t>
  </si>
  <si>
    <t>戸田</t>
  </si>
  <si>
    <t>1年 2年</t>
    <rPh sb="1" eb="2">
      <t>ネン</t>
    </rPh>
    <rPh sb="4" eb="5">
      <t>ネン</t>
    </rPh>
    <phoneticPr fontId="6"/>
  </si>
  <si>
    <t>2年 1年</t>
    <rPh sb="1" eb="2">
      <t>ネン</t>
    </rPh>
    <rPh sb="4" eb="5">
      <t>ネン</t>
    </rPh>
    <phoneticPr fontId="6"/>
  </si>
  <si>
    <t>三浦　岡田</t>
  </si>
  <si>
    <t>菊池　斎藤桃</t>
  </si>
  <si>
    <t>木村　齊藤萌</t>
  </si>
  <si>
    <t>完山　岡田</t>
    <phoneticPr fontId="6"/>
  </si>
  <si>
    <t>斎藤桃　池邉</t>
    <phoneticPr fontId="6"/>
  </si>
  <si>
    <t>齊藤萌　光島</t>
    <rPh sb="4" eb="6">
      <t>ミツシマ</t>
    </rPh>
    <phoneticPr fontId="15"/>
  </si>
  <si>
    <t>浅島　池邉</t>
    <phoneticPr fontId="6"/>
  </si>
  <si>
    <t>○：小児</t>
  </si>
  <si>
    <t>●：循環呼吸</t>
  </si>
  <si>
    <t>△：けが災害</t>
  </si>
  <si>
    <t>■：消化器</t>
  </si>
  <si>
    <t>□：精神</t>
  </si>
  <si>
    <t>▲：ACS</t>
  </si>
  <si>
    <t>けが災害</t>
  </si>
  <si>
    <t>消化器</t>
  </si>
  <si>
    <t>循環呼吸</t>
    <phoneticPr fontId="6"/>
  </si>
  <si>
    <t>精神</t>
    <phoneticPr fontId="6"/>
  </si>
  <si>
    <t>首藤</t>
    <rPh sb="0" eb="2">
      <t>スドウ</t>
    </rPh>
    <phoneticPr fontId="7"/>
  </si>
  <si>
    <t>伏津</t>
    <phoneticPr fontId="6"/>
  </si>
  <si>
    <t>渡邊</t>
    <phoneticPr fontId="6"/>
  </si>
  <si>
    <t>中村</t>
    <phoneticPr fontId="6"/>
  </si>
  <si>
    <t>五十嵐</t>
    <rPh sb="0" eb="3">
      <t>イガラシ</t>
    </rPh>
    <phoneticPr fontId="6"/>
  </si>
  <si>
    <t>WIND</t>
    <phoneticPr fontId="7"/>
  </si>
  <si>
    <t>小林範</t>
  </si>
  <si>
    <t>小林範</t>
    <phoneticPr fontId="6"/>
  </si>
  <si>
    <t>WIND</t>
    <phoneticPr fontId="6"/>
  </si>
  <si>
    <t>蛯名</t>
    <rPh sb="0" eb="2">
      <t>エビナ</t>
    </rPh>
    <phoneticPr fontId="6"/>
  </si>
  <si>
    <t>金野</t>
    <rPh sb="0" eb="2">
      <t>コンノ</t>
    </rPh>
    <phoneticPr fontId="6"/>
  </si>
  <si>
    <t>佐多</t>
    <phoneticPr fontId="6"/>
  </si>
  <si>
    <t>山口</t>
    <rPh sb="0" eb="2">
      <t>ヤマグチ</t>
    </rPh>
    <phoneticPr fontId="6"/>
  </si>
  <si>
    <t>佐多</t>
    <rPh sb="0" eb="2">
      <t>サタ</t>
    </rPh>
    <phoneticPr fontId="6"/>
  </si>
  <si>
    <t>中村</t>
    <rPh sb="0" eb="2">
      <t>ナカムラ</t>
    </rPh>
    <phoneticPr fontId="6"/>
  </si>
  <si>
    <t>首藤</t>
    <rPh sb="0" eb="2">
      <t>スドウ</t>
    </rPh>
    <phoneticPr fontId="6"/>
  </si>
  <si>
    <t>山本竜</t>
    <rPh sb="0" eb="2">
      <t>ヤマモト</t>
    </rPh>
    <rPh sb="2" eb="3">
      <t>リュウ</t>
    </rPh>
    <phoneticPr fontId="6"/>
  </si>
  <si>
    <t>川端</t>
    <rPh sb="0" eb="2">
      <t>カワバタ</t>
    </rPh>
    <phoneticPr fontId="6"/>
  </si>
  <si>
    <t>能代</t>
    <rPh sb="0" eb="2">
      <t>ノシロ</t>
    </rPh>
    <phoneticPr fontId="6"/>
  </si>
  <si>
    <t>平山</t>
    <rPh sb="0" eb="2">
      <t>ヒラヤマ</t>
    </rPh>
    <phoneticPr fontId="6"/>
  </si>
  <si>
    <r>
      <rPr>
        <sz val="20"/>
        <rFont val="BIZ UDゴシック"/>
        <family val="3"/>
        <charset val="128"/>
      </rPr>
      <t>〇</t>
    </r>
    <r>
      <rPr>
        <sz val="10"/>
        <rFont val="BIZ UDゴシック"/>
        <family val="3"/>
        <charset val="128"/>
      </rPr>
      <t xml:space="preserve">     </t>
    </r>
    <r>
      <rPr>
        <sz val="16"/>
        <rFont val="BIZ UDゴシック"/>
        <family val="3"/>
        <charset val="128"/>
      </rPr>
      <t xml:space="preserve"> 16:00 会議　</t>
    </r>
    <phoneticPr fontId="10"/>
  </si>
  <si>
    <r>
      <rPr>
        <sz val="20"/>
        <rFont val="BIZ UDゴシック"/>
        <family val="3"/>
        <charset val="128"/>
      </rPr>
      <t>〇</t>
    </r>
    <r>
      <rPr>
        <sz val="10"/>
        <rFont val="BIZ UDゴシック"/>
        <family val="3"/>
        <charset val="128"/>
      </rPr>
      <t xml:space="preserve">    </t>
    </r>
    <r>
      <rPr>
        <sz val="16"/>
        <rFont val="BIZ UDゴシック"/>
        <family val="3"/>
        <charset val="128"/>
      </rPr>
      <t xml:space="preserve">   12:30会議　</t>
    </r>
    <phoneticPr fontId="10"/>
  </si>
  <si>
    <r>
      <rPr>
        <sz val="20"/>
        <rFont val="BIZ UDゴシック"/>
        <family val="3"/>
        <charset val="128"/>
      </rPr>
      <t>〇</t>
    </r>
    <r>
      <rPr>
        <sz val="11"/>
        <rFont val="BIZ UDゴシック"/>
        <family val="3"/>
        <charset val="128"/>
      </rPr>
      <t xml:space="preserve">      </t>
    </r>
    <r>
      <rPr>
        <sz val="16"/>
        <rFont val="BIZ UDゴシック"/>
        <family val="3"/>
        <charset val="128"/>
      </rPr>
      <t>17:00会議</t>
    </r>
    <r>
      <rPr>
        <sz val="17"/>
        <rFont val="BIZ UDゴシック"/>
        <family val="3"/>
        <charset val="128"/>
      </rPr>
      <t>　</t>
    </r>
    <phoneticPr fontId="10"/>
  </si>
  <si>
    <r>
      <rPr>
        <sz val="20"/>
        <rFont val="BIZ UDゴシック"/>
        <family val="3"/>
        <charset val="128"/>
      </rPr>
      <t>〇</t>
    </r>
    <r>
      <rPr>
        <sz val="10"/>
        <rFont val="BIZ UDゴシック"/>
        <family val="3"/>
        <charset val="128"/>
      </rPr>
      <t xml:space="preserve">   </t>
    </r>
    <r>
      <rPr>
        <sz val="16"/>
        <rFont val="BIZ UDゴシック"/>
        <family val="3"/>
        <charset val="128"/>
      </rPr>
      <t xml:space="preserve">    16:30会議　</t>
    </r>
    <phoneticPr fontId="10"/>
  </si>
  <si>
    <r>
      <rPr>
        <sz val="20"/>
        <rFont val="BIZ UDゴシック"/>
        <family val="3"/>
        <charset val="128"/>
      </rPr>
      <t>〇</t>
    </r>
    <r>
      <rPr>
        <sz val="10"/>
        <rFont val="BIZ UDゴシック"/>
        <family val="3"/>
        <charset val="128"/>
      </rPr>
      <t xml:space="preserve">  </t>
    </r>
    <r>
      <rPr>
        <sz val="16"/>
        <rFont val="BIZ UDゴシック"/>
        <family val="3"/>
        <charset val="128"/>
      </rPr>
      <t xml:space="preserve">     12:30会議　</t>
    </r>
    <phoneticPr fontId="10"/>
  </si>
  <si>
    <r>
      <rPr>
        <sz val="20"/>
        <rFont val="BIZ UDゴシック"/>
        <family val="3"/>
        <charset val="128"/>
      </rPr>
      <t>●*</t>
    </r>
    <r>
      <rPr>
        <sz val="17"/>
        <rFont val="BIZ UDゴシック"/>
        <family val="3"/>
        <charset val="128"/>
      </rPr>
      <t xml:space="preserve">    </t>
    </r>
    <r>
      <rPr>
        <sz val="9"/>
        <rFont val="BIZ UDゴシック"/>
        <family val="3"/>
        <charset val="128"/>
      </rPr>
      <t xml:space="preserve"> </t>
    </r>
    <r>
      <rPr>
        <sz val="16"/>
        <rFont val="BIZ UDゴシック"/>
        <family val="3"/>
        <charset val="128"/>
      </rPr>
      <t>16:00会議</t>
    </r>
    <r>
      <rPr>
        <sz val="9"/>
        <rFont val="BIZ UDゴシック"/>
        <family val="3"/>
        <charset val="128"/>
      </rPr>
      <t>　</t>
    </r>
    <phoneticPr fontId="10"/>
  </si>
  <si>
    <r>
      <rPr>
        <sz val="20"/>
        <rFont val="BIZ UDゴシック"/>
        <family val="3"/>
        <charset val="128"/>
      </rPr>
      <t xml:space="preserve">明 </t>
    </r>
    <r>
      <rPr>
        <sz val="18"/>
        <rFont val="BIZ UDゴシック"/>
        <family val="3"/>
        <charset val="128"/>
      </rPr>
      <t xml:space="preserve"> </t>
    </r>
    <r>
      <rPr>
        <sz val="11"/>
        <rFont val="BIZ UDゴシック"/>
        <family val="3"/>
        <charset val="128"/>
      </rPr>
      <t xml:space="preserve">  </t>
    </r>
    <r>
      <rPr>
        <sz val="9"/>
        <rFont val="BIZ UDゴシック"/>
        <family val="3"/>
        <charset val="128"/>
      </rPr>
      <t xml:space="preserve">  　</t>
    </r>
    <r>
      <rPr>
        <sz val="16"/>
        <rFont val="BIZ UDゴシック"/>
        <family val="3"/>
        <charset val="128"/>
      </rPr>
      <t>12:30　16:30 会議</t>
    </r>
    <phoneticPr fontId="10"/>
  </si>
  <si>
    <r>
      <rPr>
        <sz val="20"/>
        <rFont val="BIZ UDゴシック"/>
        <family val="3"/>
        <charset val="128"/>
      </rPr>
      <t>〇</t>
    </r>
    <r>
      <rPr>
        <sz val="11"/>
        <rFont val="BIZ UDゴシック"/>
        <family val="3"/>
        <charset val="128"/>
      </rPr>
      <t xml:space="preserve">       </t>
    </r>
    <r>
      <rPr>
        <sz val="16"/>
        <rFont val="BIZ UDゴシック"/>
        <family val="3"/>
        <charset val="128"/>
      </rPr>
      <t>16:30会議</t>
    </r>
    <r>
      <rPr>
        <sz val="17"/>
        <rFont val="BIZ UDゴシック"/>
        <family val="3"/>
        <charset val="128"/>
      </rPr>
      <t>　</t>
    </r>
    <phoneticPr fontId="10"/>
  </si>
  <si>
    <r>
      <rPr>
        <sz val="20"/>
        <rFont val="BIZ UDゴシック"/>
        <family val="3"/>
        <charset val="128"/>
      </rPr>
      <t>〇</t>
    </r>
    <r>
      <rPr>
        <sz val="10"/>
        <rFont val="BIZ UDゴシック"/>
        <family val="3"/>
        <charset val="128"/>
      </rPr>
      <t xml:space="preserve">     </t>
    </r>
    <r>
      <rPr>
        <sz val="16"/>
        <rFont val="BIZ UDゴシック"/>
        <family val="3"/>
        <charset val="128"/>
      </rPr>
      <t xml:space="preserve">  16:30会議　</t>
    </r>
    <phoneticPr fontId="10"/>
  </si>
  <si>
    <r>
      <rPr>
        <sz val="20"/>
        <rFont val="BIZ UDゴシック"/>
        <family val="3"/>
        <charset val="128"/>
      </rPr>
      <t>〇</t>
    </r>
    <r>
      <rPr>
        <sz val="10"/>
        <rFont val="BIZ UDゴシック"/>
        <family val="3"/>
        <charset val="128"/>
      </rPr>
      <t xml:space="preserve">   </t>
    </r>
    <r>
      <rPr>
        <sz val="16"/>
        <rFont val="BIZ UDゴシック"/>
        <family val="3"/>
        <charset val="128"/>
      </rPr>
      <t xml:space="preserve">    12:30会議　</t>
    </r>
    <phoneticPr fontId="10"/>
  </si>
  <si>
    <r>
      <t xml:space="preserve">休    </t>
    </r>
    <r>
      <rPr>
        <sz val="16"/>
        <rFont val="BIZ UDゴシック"/>
        <family val="3"/>
        <charset val="128"/>
      </rPr>
      <t xml:space="preserve"> </t>
    </r>
    <phoneticPr fontId="10"/>
  </si>
  <si>
    <r>
      <t xml:space="preserve">休  </t>
    </r>
    <r>
      <rPr>
        <sz val="11"/>
        <rFont val="BIZ UDゴシック"/>
        <family val="3"/>
        <charset val="128"/>
      </rPr>
      <t xml:space="preserve">  </t>
    </r>
    <phoneticPr fontId="10"/>
  </si>
  <si>
    <r>
      <t xml:space="preserve">休       </t>
    </r>
    <r>
      <rPr>
        <sz val="16"/>
        <rFont val="BIZ UDゴシック"/>
        <family val="3"/>
        <charset val="128"/>
      </rPr>
      <t>急病センター</t>
    </r>
    <phoneticPr fontId="10"/>
  </si>
  <si>
    <r>
      <t xml:space="preserve">休     </t>
    </r>
    <r>
      <rPr>
        <sz val="16"/>
        <rFont val="BIZ UDゴシック"/>
        <family val="3"/>
        <charset val="128"/>
      </rPr>
      <t>急病   明け</t>
    </r>
    <phoneticPr fontId="10"/>
  </si>
  <si>
    <r>
      <t xml:space="preserve">休  </t>
    </r>
    <r>
      <rPr>
        <sz val="18"/>
        <color rgb="FF000000"/>
        <rFont val="BIZ UDゴシック"/>
        <family val="3"/>
        <charset val="128"/>
      </rPr>
      <t>(病休)</t>
    </r>
    <phoneticPr fontId="6"/>
  </si>
  <si>
    <r>
      <t xml:space="preserve">休  </t>
    </r>
    <r>
      <rPr>
        <sz val="18"/>
        <color rgb="FF000000"/>
        <rFont val="BIZ UDゴシック"/>
        <family val="3"/>
        <charset val="128"/>
      </rPr>
      <t>(病休)</t>
    </r>
  </si>
  <si>
    <r>
      <t xml:space="preserve">休  </t>
    </r>
    <r>
      <rPr>
        <sz val="18"/>
        <color rgb="FF000000"/>
        <rFont val="BIZ UDゴシック"/>
        <family val="3"/>
        <charset val="128"/>
      </rPr>
      <t>(病休)</t>
    </r>
    <phoneticPr fontId="10"/>
  </si>
  <si>
    <t>●*      　</t>
    <phoneticPr fontId="10"/>
  </si>
  <si>
    <r>
      <t>休 　</t>
    </r>
    <r>
      <rPr>
        <sz val="16"/>
        <rFont val="BIZ UDゴシック"/>
        <family val="3"/>
        <charset val="128"/>
      </rPr>
      <t xml:space="preserve"> (年休)</t>
    </r>
    <phoneticPr fontId="10"/>
  </si>
  <si>
    <r>
      <t xml:space="preserve">〇*     </t>
    </r>
    <r>
      <rPr>
        <sz val="8"/>
        <rFont val="BIZ UDゴシック"/>
        <family val="3"/>
        <charset val="128"/>
      </rPr>
      <t xml:space="preserve"> </t>
    </r>
    <r>
      <rPr>
        <sz val="20"/>
        <rFont val="BIZ UDゴシック"/>
        <family val="3"/>
        <charset val="128"/>
      </rPr>
      <t>　</t>
    </r>
    <phoneticPr fontId="10"/>
  </si>
  <si>
    <t>明      　</t>
    <phoneticPr fontId="10"/>
  </si>
  <si>
    <r>
      <t xml:space="preserve">〇    </t>
    </r>
    <r>
      <rPr>
        <sz val="11"/>
        <rFont val="BIZ UDゴシック"/>
        <family val="3"/>
        <charset val="128"/>
      </rPr>
      <t xml:space="preserve">    </t>
    </r>
    <r>
      <rPr>
        <sz val="16"/>
        <rFont val="BIZ UDゴシック"/>
        <family val="3"/>
        <charset val="128"/>
      </rPr>
      <t>15:30   会議</t>
    </r>
    <phoneticPr fontId="10"/>
  </si>
  <si>
    <t xml:space="preserve">休     </t>
    <rPh sb="0" eb="1">
      <t>ヤス</t>
    </rPh>
    <phoneticPr fontId="10"/>
  </si>
  <si>
    <r>
      <t xml:space="preserve">〇    </t>
    </r>
    <r>
      <rPr>
        <sz val="11"/>
        <rFont val="BIZ UDゴシック"/>
        <family val="3"/>
        <charset val="128"/>
      </rPr>
      <t xml:space="preserve">    </t>
    </r>
    <r>
      <rPr>
        <sz val="16"/>
        <rFont val="BIZ UDゴシック"/>
        <family val="3"/>
        <charset val="128"/>
      </rPr>
      <t>16:30   会議</t>
    </r>
    <phoneticPr fontId="10"/>
  </si>
  <si>
    <t xml:space="preserve">休　 </t>
    <phoneticPr fontId="10"/>
  </si>
  <si>
    <t xml:space="preserve">明     </t>
    <phoneticPr fontId="10"/>
  </si>
  <si>
    <r>
      <t xml:space="preserve">〇    </t>
    </r>
    <r>
      <rPr>
        <sz val="16"/>
        <rFont val="BIZ UDゴシック"/>
        <family val="3"/>
        <charset val="128"/>
      </rPr>
      <t xml:space="preserve"> </t>
    </r>
    <phoneticPr fontId="10"/>
  </si>
  <si>
    <t>▲　　2次   当直</t>
    <phoneticPr fontId="10"/>
  </si>
  <si>
    <r>
      <t xml:space="preserve">●      </t>
    </r>
    <r>
      <rPr>
        <sz val="18"/>
        <color rgb="FF000000"/>
        <rFont val="BIZ UDゴシック"/>
        <family val="3"/>
        <charset val="128"/>
      </rPr>
      <t xml:space="preserve"> </t>
    </r>
    <r>
      <rPr>
        <sz val="14"/>
        <color rgb="FF000000"/>
        <rFont val="BIZ UDゴシック"/>
        <family val="3"/>
        <charset val="128"/>
      </rPr>
      <t>高橋</t>
    </r>
    <r>
      <rPr>
        <sz val="18"/>
        <color rgb="FF000000"/>
        <rFont val="BIZ UDゴシック"/>
        <family val="3"/>
        <charset val="128"/>
      </rPr>
      <t>正</t>
    </r>
    <phoneticPr fontId="10"/>
  </si>
  <si>
    <r>
      <t xml:space="preserve">●      </t>
    </r>
    <r>
      <rPr>
        <sz val="18"/>
        <color rgb="FF000000"/>
        <rFont val="BIZ UDゴシック"/>
        <family val="3"/>
        <charset val="128"/>
      </rPr>
      <t xml:space="preserve"> </t>
    </r>
    <r>
      <rPr>
        <sz val="14"/>
        <color rgb="FF000000"/>
        <rFont val="BIZ UDゴシック"/>
        <family val="3"/>
        <charset val="128"/>
      </rPr>
      <t>高橋</t>
    </r>
    <r>
      <rPr>
        <sz val="18"/>
        <color rgb="FF000000"/>
        <rFont val="BIZ UDゴシック"/>
        <family val="3"/>
        <charset val="128"/>
      </rPr>
      <t>悠</t>
    </r>
    <rPh sb="10" eb="11">
      <t>ユウ</t>
    </rPh>
    <phoneticPr fontId="10"/>
  </si>
  <si>
    <r>
      <rPr>
        <sz val="20"/>
        <color rgb="FFFF0000"/>
        <rFont val="BIZ UDゴシック"/>
        <family val="3"/>
        <charset val="128"/>
      </rPr>
      <t>〇</t>
    </r>
    <r>
      <rPr>
        <sz val="20"/>
        <color rgb="FF000000"/>
        <rFont val="BIZ UDゴシック"/>
        <family val="3"/>
        <charset val="128"/>
      </rPr>
      <t xml:space="preserve">
</t>
    </r>
    <r>
      <rPr>
        <sz val="18"/>
        <color rgb="FF000000"/>
        <rFont val="BIZ UDゴシック"/>
        <family val="3"/>
        <charset val="128"/>
      </rPr>
      <t>(宿直)</t>
    </r>
    <rPh sb="3" eb="5">
      <t>シュクチョク</t>
    </rPh>
    <phoneticPr fontId="11"/>
  </si>
  <si>
    <t xml:space="preserve"> </t>
    <phoneticPr fontId="7"/>
  </si>
  <si>
    <t>提嶋　久子</t>
    <rPh sb="0" eb="2">
      <t>サゲシマ</t>
    </rPh>
    <rPh sb="3" eb="5">
      <t>ヒサコ</t>
    </rPh>
    <phoneticPr fontId="3"/>
  </si>
  <si>
    <t>遠藤　晃生</t>
    <rPh sb="0" eb="2">
      <t>エンドウ</t>
    </rPh>
    <rPh sb="3" eb="4">
      <t>アキラ</t>
    </rPh>
    <rPh sb="4" eb="5">
      <t>セイ</t>
    </rPh>
    <phoneticPr fontId="3"/>
  </si>
  <si>
    <t>㉕**</t>
  </si>
  <si>
    <t>㉕</t>
  </si>
  <si>
    <t xml:space="preserve">休     </t>
    <phoneticPr fontId="10"/>
  </si>
  <si>
    <t xml:space="preserve">〇*     </t>
    <phoneticPr fontId="10"/>
  </si>
  <si>
    <t>〇</t>
    <phoneticPr fontId="10"/>
  </si>
  <si>
    <t>〇　</t>
    <phoneticPr fontId="10"/>
  </si>
  <si>
    <t xml:space="preserve">〇     </t>
    <phoneticPr fontId="10"/>
  </si>
  <si>
    <t xml:space="preserve">〇   </t>
    <phoneticPr fontId="10"/>
  </si>
  <si>
    <t>齋藤　大成</t>
    <phoneticPr fontId="1"/>
  </si>
  <si>
    <t>明け</t>
    <rPh sb="0" eb="1">
      <t>ア</t>
    </rPh>
    <phoneticPr fontId="4"/>
  </si>
  <si>
    <t>週休日</t>
    <rPh sb="0" eb="3">
      <t>シュウキュウビ</t>
    </rPh>
    <phoneticPr fontId="4"/>
  </si>
  <si>
    <t>(宿直)</t>
    <phoneticPr fontId="4"/>
  </si>
  <si>
    <t>臨研</t>
    <rPh sb="0" eb="2">
      <t>リンケン</t>
    </rPh>
    <phoneticPr fontId="4"/>
  </si>
  <si>
    <t>山口</t>
  </si>
  <si>
    <t>川端</t>
  </si>
  <si>
    <t>平山</t>
  </si>
  <si>
    <t>首藤</t>
  </si>
  <si>
    <t>伏津</t>
  </si>
  <si>
    <t>小林範</t>
    <phoneticPr fontId="7"/>
  </si>
  <si>
    <t>WIND</t>
    <phoneticPr fontId="7"/>
  </si>
  <si>
    <t>蝦名</t>
    <phoneticPr fontId="7"/>
  </si>
  <si>
    <t>女屋</t>
    <phoneticPr fontId="7"/>
  </si>
  <si>
    <t>工藤ひ</t>
    <phoneticPr fontId="7"/>
  </si>
  <si>
    <t>高橋</t>
    <phoneticPr fontId="7"/>
  </si>
  <si>
    <t>松宮</t>
    <phoneticPr fontId="7"/>
  </si>
  <si>
    <t>山本早</t>
    <phoneticPr fontId="7"/>
  </si>
  <si>
    <t>良川</t>
    <phoneticPr fontId="7"/>
  </si>
  <si>
    <t>病理</t>
  </si>
  <si>
    <t>放診</t>
  </si>
  <si>
    <t>感染</t>
  </si>
  <si>
    <t>加藤（諒）</t>
  </si>
  <si>
    <t>中桐</t>
  </si>
  <si>
    <t>橋本</t>
  </si>
  <si>
    <t>加藤（政）</t>
  </si>
  <si>
    <t>緑川</t>
  </si>
  <si>
    <t>大東</t>
  </si>
  <si>
    <t>中島</t>
  </si>
  <si>
    <t>佐藤(朝)</t>
  </si>
  <si>
    <t>吉田（あ）</t>
  </si>
  <si>
    <t>武井</t>
  </si>
  <si>
    <t>山田（錬）</t>
  </si>
  <si>
    <t>市川</t>
  </si>
  <si>
    <t>成瀬</t>
  </si>
  <si>
    <t>大黒</t>
  </si>
  <si>
    <t>村井</t>
  </si>
  <si>
    <t>水戸</t>
  </si>
  <si>
    <t>早川</t>
  </si>
  <si>
    <t>奥田（貴）</t>
  </si>
  <si>
    <t>中野</t>
  </si>
  <si>
    <t>浅利</t>
  </si>
  <si>
    <t>宮川</t>
    <phoneticPr fontId="15"/>
  </si>
  <si>
    <t>竹浪</t>
  </si>
  <si>
    <t>野宮</t>
  </si>
  <si>
    <t>〇</t>
    <phoneticPr fontId="15"/>
  </si>
  <si>
    <t>▲</t>
    <phoneticPr fontId="15"/>
  </si>
  <si>
    <t>■</t>
    <phoneticPr fontId="15"/>
  </si>
  <si>
    <t>●</t>
    <phoneticPr fontId="15"/>
  </si>
  <si>
    <t>北大佐々木</t>
    <rPh sb="0" eb="2">
      <t>ホクダイ</t>
    </rPh>
    <rPh sb="2" eb="5">
      <t>ササキ</t>
    </rPh>
    <phoneticPr fontId="15"/>
  </si>
  <si>
    <t>岡田</t>
  </si>
  <si>
    <t>國澤</t>
  </si>
  <si>
    <t>樋口</t>
    <rPh sb="0" eb="2">
      <t>ヒグチ</t>
    </rPh>
    <phoneticPr fontId="15"/>
  </si>
  <si>
    <t>菊池　岡田</t>
    <phoneticPr fontId="7"/>
  </si>
  <si>
    <t>笹　出口</t>
    <phoneticPr fontId="7"/>
  </si>
  <si>
    <t>佐々木　三浦</t>
    <rPh sb="4" eb="6">
      <t>ミウラ</t>
    </rPh>
    <phoneticPr fontId="15"/>
  </si>
  <si>
    <t>戸田</t>
    <phoneticPr fontId="7"/>
  </si>
  <si>
    <t>國澤</t>
    <phoneticPr fontId="7"/>
  </si>
  <si>
    <t>笹</t>
    <phoneticPr fontId="7"/>
  </si>
  <si>
    <t>山下</t>
    <phoneticPr fontId="7"/>
  </si>
  <si>
    <t>谷口</t>
    <phoneticPr fontId="7"/>
  </si>
  <si>
    <t>二次救急変換</t>
    <rPh sb="0" eb="4">
      <t>ニジキュウキュウ</t>
    </rPh>
    <rPh sb="4" eb="6">
      <t>ヘンカン</t>
    </rPh>
    <phoneticPr fontId="7"/>
  </si>
  <si>
    <t>循環呼吸</t>
  </si>
  <si>
    <t>小児</t>
    <phoneticPr fontId="7"/>
  </si>
  <si>
    <t>精神</t>
    <phoneticPr fontId="7"/>
  </si>
  <si>
    <r>
      <t>〇  　</t>
    </r>
    <r>
      <rPr>
        <sz val="14"/>
        <rFont val="BIZ UDゴシック"/>
        <family val="3"/>
        <charset val="128"/>
      </rPr>
      <t>14:00   16:30     会議</t>
    </r>
    <r>
      <rPr>
        <sz val="20"/>
        <rFont val="BIZ UDゴシック"/>
        <family val="3"/>
        <charset val="128"/>
      </rPr>
      <t>　</t>
    </r>
    <phoneticPr fontId="10"/>
  </si>
  <si>
    <r>
      <t xml:space="preserve">〇       </t>
    </r>
    <r>
      <rPr>
        <sz val="16"/>
        <rFont val="BIZ UDゴシック"/>
        <family val="3"/>
        <charset val="128"/>
      </rPr>
      <t>12:30 会議</t>
    </r>
    <r>
      <rPr>
        <sz val="20"/>
        <rFont val="BIZ UDゴシック"/>
        <family val="3"/>
        <charset val="128"/>
      </rPr>
      <t>　</t>
    </r>
    <phoneticPr fontId="10"/>
  </si>
  <si>
    <r>
      <t xml:space="preserve">〇      </t>
    </r>
    <r>
      <rPr>
        <sz val="16"/>
        <rFont val="BIZ UDゴシック"/>
        <family val="3"/>
        <charset val="128"/>
      </rPr>
      <t>17:00会議</t>
    </r>
    <r>
      <rPr>
        <sz val="20"/>
        <rFont val="BIZ UDゴシック"/>
        <family val="3"/>
        <charset val="128"/>
      </rPr>
      <t>　</t>
    </r>
    <phoneticPr fontId="10"/>
  </si>
  <si>
    <r>
      <t xml:space="preserve">〇       </t>
    </r>
    <r>
      <rPr>
        <sz val="16"/>
        <rFont val="BIZ UDゴシック"/>
        <family val="3"/>
        <charset val="128"/>
      </rPr>
      <t>16:30会議</t>
    </r>
    <r>
      <rPr>
        <sz val="20"/>
        <rFont val="BIZ UDゴシック"/>
        <family val="3"/>
        <charset val="128"/>
      </rPr>
      <t>　</t>
    </r>
    <phoneticPr fontId="10"/>
  </si>
  <si>
    <r>
      <t xml:space="preserve">〇       </t>
    </r>
    <r>
      <rPr>
        <sz val="16"/>
        <rFont val="BIZ UDゴシック"/>
        <family val="3"/>
        <charset val="128"/>
      </rPr>
      <t>12:30会議</t>
    </r>
    <r>
      <rPr>
        <sz val="20"/>
        <rFont val="BIZ UDゴシック"/>
        <family val="3"/>
        <charset val="128"/>
      </rPr>
      <t>　</t>
    </r>
    <phoneticPr fontId="10"/>
  </si>
  <si>
    <r>
      <t xml:space="preserve">〇      </t>
    </r>
    <r>
      <rPr>
        <sz val="16"/>
        <rFont val="BIZ UDゴシック"/>
        <family val="3"/>
        <charset val="128"/>
      </rPr>
      <t>16:00会議</t>
    </r>
    <r>
      <rPr>
        <sz val="20"/>
        <rFont val="BIZ UDゴシック"/>
        <family val="3"/>
        <charset val="128"/>
      </rPr>
      <t>　</t>
    </r>
    <phoneticPr fontId="10"/>
  </si>
  <si>
    <r>
      <t xml:space="preserve">〇       </t>
    </r>
    <r>
      <rPr>
        <sz val="14"/>
        <rFont val="BIZ UDゴシック"/>
        <family val="3"/>
        <charset val="128"/>
      </rPr>
      <t>12:30　17:00     会議</t>
    </r>
    <phoneticPr fontId="10"/>
  </si>
  <si>
    <r>
      <t xml:space="preserve">明       </t>
    </r>
    <r>
      <rPr>
        <sz val="16"/>
        <rFont val="BIZ UDゴシック"/>
        <family val="3"/>
        <charset val="128"/>
      </rPr>
      <t>急病センター</t>
    </r>
    <phoneticPr fontId="10"/>
  </si>
  <si>
    <r>
      <t xml:space="preserve">休  </t>
    </r>
    <r>
      <rPr>
        <sz val="18"/>
        <rFont val="BIZ UDゴシック"/>
        <family val="3"/>
        <charset val="128"/>
      </rPr>
      <t>(病休)</t>
    </r>
    <phoneticPr fontId="10"/>
  </si>
  <si>
    <r>
      <t>休　</t>
    </r>
    <r>
      <rPr>
        <sz val="16"/>
        <rFont val="BIZ UDゴシック"/>
        <family val="3"/>
        <charset val="128"/>
      </rPr>
      <t>(子看休)</t>
    </r>
    <rPh sb="0" eb="1">
      <t>ヤス</t>
    </rPh>
    <rPh sb="4" eb="5">
      <t>カン</t>
    </rPh>
    <phoneticPr fontId="10"/>
  </si>
  <si>
    <r>
      <t xml:space="preserve">〇        </t>
    </r>
    <r>
      <rPr>
        <sz val="16"/>
        <rFont val="BIZ UDゴシック"/>
        <family val="3"/>
        <charset val="128"/>
      </rPr>
      <t>15:30会議</t>
    </r>
    <phoneticPr fontId="10"/>
  </si>
  <si>
    <r>
      <t xml:space="preserve">〇*       </t>
    </r>
    <r>
      <rPr>
        <sz val="16"/>
        <rFont val="BIZ UDゴシック"/>
        <family val="3"/>
        <charset val="128"/>
      </rPr>
      <t>16:15会議</t>
    </r>
    <phoneticPr fontId="10"/>
  </si>
  <si>
    <r>
      <t xml:space="preserve">明      </t>
    </r>
    <r>
      <rPr>
        <sz val="16"/>
        <rFont val="BIZ UDゴシック"/>
        <family val="3"/>
        <charset val="128"/>
      </rPr>
      <t>移動日</t>
    </r>
    <r>
      <rPr>
        <sz val="20"/>
        <rFont val="BIZ UDゴシック"/>
        <family val="3"/>
        <charset val="128"/>
      </rPr>
      <t>　</t>
    </r>
    <phoneticPr fontId="10"/>
  </si>
  <si>
    <r>
      <t xml:space="preserve">休    </t>
    </r>
    <r>
      <rPr>
        <sz val="16"/>
        <rFont val="BIZ UDゴシック"/>
        <family val="3"/>
        <charset val="128"/>
      </rPr>
      <t>移動日</t>
    </r>
    <phoneticPr fontId="10"/>
  </si>
  <si>
    <r>
      <t xml:space="preserve">休　 </t>
    </r>
    <r>
      <rPr>
        <sz val="18"/>
        <rFont val="BIZ UDゴシック"/>
        <family val="3"/>
        <charset val="128"/>
      </rPr>
      <t>(夏休)</t>
    </r>
    <rPh sb="0" eb="1">
      <t>ヤス</t>
    </rPh>
    <phoneticPr fontId="10"/>
  </si>
  <si>
    <r>
      <t>▲　　</t>
    </r>
    <r>
      <rPr>
        <sz val="18"/>
        <rFont val="BIZ UDゴシック"/>
        <family val="3"/>
        <charset val="128"/>
      </rPr>
      <t>2次   当直</t>
    </r>
    <phoneticPr fontId="10"/>
  </si>
  <si>
    <r>
      <t xml:space="preserve">●     </t>
    </r>
    <r>
      <rPr>
        <sz val="14"/>
        <color rgb="FF000000"/>
        <rFont val="BIZ UDゴシック"/>
        <family val="3"/>
        <charset val="128"/>
      </rPr>
      <t>高橋</t>
    </r>
    <r>
      <rPr>
        <sz val="18"/>
        <color rgb="FF000000"/>
        <rFont val="BIZ UDゴシック"/>
        <family val="3"/>
        <charset val="128"/>
      </rPr>
      <t>正</t>
    </r>
    <phoneticPr fontId="10"/>
  </si>
  <si>
    <r>
      <t xml:space="preserve">●     </t>
    </r>
    <r>
      <rPr>
        <sz val="14"/>
        <color rgb="FF000000"/>
        <rFont val="BIZ UDゴシック"/>
        <family val="3"/>
        <charset val="128"/>
      </rPr>
      <t>高橋</t>
    </r>
    <r>
      <rPr>
        <sz val="18"/>
        <color rgb="FF000000"/>
        <rFont val="BIZ UDゴシック"/>
        <family val="3"/>
        <charset val="128"/>
      </rPr>
      <t>悠</t>
    </r>
    <phoneticPr fontId="10"/>
  </si>
  <si>
    <r>
      <rPr>
        <sz val="20"/>
        <color rgb="FFFF0000"/>
        <rFont val="BIZ UDゴシック"/>
        <family val="3"/>
        <charset val="128"/>
      </rPr>
      <t>〇</t>
    </r>
    <r>
      <rPr>
        <sz val="20"/>
        <color theme="1"/>
        <rFont val="BIZ UDゴシック"/>
        <family val="3"/>
        <charset val="128"/>
      </rPr>
      <t xml:space="preserve">
</t>
    </r>
    <r>
      <rPr>
        <sz val="18"/>
        <color theme="1"/>
        <rFont val="BIZ UDゴシック"/>
        <family val="3"/>
        <charset val="128"/>
      </rPr>
      <t>(宿直)</t>
    </r>
    <rPh sb="3" eb="5">
      <t>シュクチョク</t>
    </rPh>
    <phoneticPr fontId="4"/>
  </si>
  <si>
    <t xml:space="preserve">●*        </t>
    <phoneticPr fontId="10"/>
  </si>
  <si>
    <t xml:space="preserve">〇  </t>
    <phoneticPr fontId="10"/>
  </si>
  <si>
    <t>樋口 万里子</t>
    <phoneticPr fontId="1"/>
  </si>
  <si>
    <t>年休</t>
    <rPh sb="0" eb="2">
      <t>ネンキュウ</t>
    </rPh>
    <phoneticPr fontId="4"/>
  </si>
  <si>
    <t>休日</t>
    <rPh sb="0" eb="2">
      <t>キュウジツ</t>
    </rPh>
    <phoneticPr fontId="4"/>
  </si>
  <si>
    <t>日直</t>
    <rPh sb="0" eb="2">
      <t>ニッチョク</t>
    </rPh>
    <phoneticPr fontId="4"/>
  </si>
  <si>
    <t>関</t>
    <phoneticPr fontId="7"/>
  </si>
  <si>
    <t>井平</t>
    <phoneticPr fontId="7"/>
  </si>
  <si>
    <t>奥</t>
    <phoneticPr fontId="7"/>
  </si>
  <si>
    <t>坂田</t>
  </si>
  <si>
    <t>川江</t>
  </si>
  <si>
    <t>佐藤太</t>
    <phoneticPr fontId="15"/>
  </si>
  <si>
    <t>青山</t>
  </si>
  <si>
    <t>北大佐々木</t>
    <rPh sb="0" eb="5">
      <t>ホクダイササキ</t>
    </rPh>
    <phoneticPr fontId="15"/>
  </si>
  <si>
    <t>オンコール</t>
    <phoneticPr fontId="15"/>
  </si>
  <si>
    <t>富樫</t>
  </si>
  <si>
    <t>和田</t>
    <phoneticPr fontId="15"/>
  </si>
  <si>
    <t>加藤</t>
    <phoneticPr fontId="15"/>
  </si>
  <si>
    <t>安藤</t>
    <phoneticPr fontId="15"/>
  </si>
  <si>
    <t>□</t>
    <phoneticPr fontId="15"/>
  </si>
  <si>
    <t>北大玉置</t>
    <rPh sb="0" eb="2">
      <t>ホクダイ</t>
    </rPh>
    <rPh sb="2" eb="4">
      <t>タマキ</t>
    </rPh>
    <phoneticPr fontId="15"/>
  </si>
  <si>
    <t>佐藤朝</t>
  </si>
  <si>
    <t>奥田耕</t>
  </si>
  <si>
    <t>下手</t>
  </si>
  <si>
    <t>斎藤桃</t>
  </si>
  <si>
    <t>笹</t>
  </si>
  <si>
    <t>2年</t>
    <rPh sb="1" eb="2">
      <t>ネン</t>
    </rPh>
    <phoneticPr fontId="7"/>
  </si>
  <si>
    <t>1年</t>
    <rPh sb="1" eb="2">
      <t>ネン</t>
    </rPh>
    <phoneticPr fontId="7"/>
  </si>
  <si>
    <t>2年　1年</t>
    <rPh sb="1" eb="2">
      <t>ネン</t>
    </rPh>
    <rPh sb="4" eb="5">
      <t>ネン</t>
    </rPh>
    <phoneticPr fontId="7"/>
  </si>
  <si>
    <t>菊池山下</t>
    <rPh sb="2" eb="4">
      <t>ヤマシタ</t>
    </rPh>
    <phoneticPr fontId="15"/>
  </si>
  <si>
    <t>木村　下手</t>
    <rPh sb="3" eb="5">
      <t>ヘタ</t>
    </rPh>
    <phoneticPr fontId="15"/>
  </si>
  <si>
    <t>笹　下手</t>
    <rPh sb="0" eb="1">
      <t>ササ</t>
    </rPh>
    <phoneticPr fontId="15"/>
  </si>
  <si>
    <t>池邉　小田島</t>
    <rPh sb="0" eb="2">
      <t>イケベ</t>
    </rPh>
    <phoneticPr fontId="15"/>
  </si>
  <si>
    <t>西原　浅島</t>
    <rPh sb="3" eb="5">
      <t>アサジマ</t>
    </rPh>
    <phoneticPr fontId="15"/>
  </si>
  <si>
    <t>ACS</t>
    <phoneticPr fontId="7"/>
  </si>
  <si>
    <r>
      <rPr>
        <sz val="20"/>
        <rFont val="BIZ UDゴシック"/>
        <family val="3"/>
        <charset val="128"/>
      </rPr>
      <t>〇</t>
    </r>
    <r>
      <rPr>
        <sz val="10"/>
        <rFont val="BIZ UDゴシック"/>
        <family val="3"/>
        <charset val="128"/>
      </rPr>
      <t xml:space="preserve">  </t>
    </r>
    <r>
      <rPr>
        <sz val="16"/>
        <rFont val="BIZ UDゴシック"/>
        <family val="3"/>
        <charset val="128"/>
      </rPr>
      <t xml:space="preserve">     12:30 会議　</t>
    </r>
    <phoneticPr fontId="10"/>
  </si>
  <si>
    <r>
      <rPr>
        <sz val="20"/>
        <rFont val="BIZ UDゴシック"/>
        <family val="3"/>
        <charset val="128"/>
      </rPr>
      <t>〇</t>
    </r>
    <r>
      <rPr>
        <sz val="10"/>
        <rFont val="BIZ UDゴシック"/>
        <family val="3"/>
        <charset val="128"/>
      </rPr>
      <t xml:space="preserve">   </t>
    </r>
    <r>
      <rPr>
        <sz val="16"/>
        <rFont val="BIZ UDゴシック"/>
        <family val="3"/>
        <charset val="128"/>
      </rPr>
      <t xml:space="preserve">   16:00会議　</t>
    </r>
    <phoneticPr fontId="10"/>
  </si>
  <si>
    <r>
      <rPr>
        <sz val="20"/>
        <rFont val="BIZ UDゴシック"/>
        <family val="3"/>
        <charset val="128"/>
      </rPr>
      <t>〇</t>
    </r>
    <r>
      <rPr>
        <sz val="10"/>
        <rFont val="BIZ UDゴシック"/>
        <family val="3"/>
        <charset val="128"/>
      </rPr>
      <t xml:space="preserve">     </t>
    </r>
    <r>
      <rPr>
        <sz val="16"/>
        <rFont val="BIZ UDゴシック"/>
        <family val="3"/>
        <charset val="128"/>
      </rPr>
      <t xml:space="preserve">  12:30会議　</t>
    </r>
    <phoneticPr fontId="10"/>
  </si>
  <si>
    <r>
      <rPr>
        <sz val="20"/>
        <rFont val="BIZ UDゴシック"/>
        <family val="3"/>
        <charset val="128"/>
      </rPr>
      <t>〇</t>
    </r>
    <r>
      <rPr>
        <sz val="11"/>
        <rFont val="BIZ UDゴシック"/>
        <family val="3"/>
        <charset val="128"/>
      </rPr>
      <t xml:space="preserve">     </t>
    </r>
    <r>
      <rPr>
        <sz val="16"/>
        <rFont val="BIZ UDゴシック"/>
        <family val="3"/>
        <charset val="128"/>
      </rPr>
      <t xml:space="preserve">  AM北大講義</t>
    </r>
    <r>
      <rPr>
        <sz val="17"/>
        <rFont val="BIZ UDゴシック"/>
        <family val="3"/>
        <charset val="128"/>
      </rPr>
      <t>　</t>
    </r>
    <rPh sb="11" eb="12">
      <t>ダイ</t>
    </rPh>
    <phoneticPr fontId="10"/>
  </si>
  <si>
    <r>
      <rPr>
        <sz val="20"/>
        <rFont val="BIZ UDゴシック"/>
        <family val="3"/>
        <charset val="128"/>
      </rPr>
      <t>〇</t>
    </r>
    <r>
      <rPr>
        <sz val="10"/>
        <rFont val="BIZ UDゴシック"/>
        <family val="3"/>
        <charset val="128"/>
      </rPr>
      <t xml:space="preserve">    </t>
    </r>
    <r>
      <rPr>
        <sz val="16"/>
        <rFont val="BIZ UDゴシック"/>
        <family val="3"/>
        <charset val="128"/>
      </rPr>
      <t xml:space="preserve">  16:00会議　</t>
    </r>
    <phoneticPr fontId="10"/>
  </si>
  <si>
    <r>
      <rPr>
        <sz val="20"/>
        <rFont val="BIZ UDゴシック"/>
        <family val="3"/>
        <charset val="128"/>
      </rPr>
      <t>〇</t>
    </r>
    <r>
      <rPr>
        <sz val="10"/>
        <rFont val="BIZ UDゴシック"/>
        <family val="3"/>
        <charset val="128"/>
      </rPr>
      <t xml:space="preserve">    </t>
    </r>
    <r>
      <rPr>
        <sz val="16"/>
        <rFont val="BIZ UDゴシック"/>
        <family val="3"/>
        <charset val="128"/>
      </rPr>
      <t xml:space="preserve">   16:30会議　</t>
    </r>
    <phoneticPr fontId="10"/>
  </si>
  <si>
    <r>
      <rPr>
        <sz val="20"/>
        <rFont val="BIZ UDゴシック"/>
        <family val="3"/>
        <charset val="128"/>
      </rPr>
      <t>〇</t>
    </r>
    <r>
      <rPr>
        <sz val="10"/>
        <rFont val="BIZ UDゴシック"/>
        <family val="3"/>
        <charset val="128"/>
      </rPr>
      <t xml:space="preserve">     </t>
    </r>
    <r>
      <rPr>
        <sz val="16"/>
        <rFont val="BIZ UDゴシック"/>
        <family val="3"/>
        <charset val="128"/>
      </rPr>
      <t xml:space="preserve"> 16:00会議　</t>
    </r>
    <phoneticPr fontId="10"/>
  </si>
  <si>
    <r>
      <t xml:space="preserve">明    </t>
    </r>
    <r>
      <rPr>
        <sz val="16"/>
        <rFont val="BIZ UDゴシック"/>
        <family val="3"/>
        <charset val="128"/>
      </rPr>
      <t xml:space="preserve"> </t>
    </r>
    <phoneticPr fontId="10"/>
  </si>
  <si>
    <r>
      <t xml:space="preserve">〇 </t>
    </r>
    <r>
      <rPr>
        <sz val="18"/>
        <rFont val="BIZ UDゴシック"/>
        <family val="3"/>
        <charset val="128"/>
      </rPr>
      <t xml:space="preserve"> </t>
    </r>
    <phoneticPr fontId="10"/>
  </si>
  <si>
    <r>
      <t xml:space="preserve">休　 </t>
    </r>
    <r>
      <rPr>
        <sz val="16"/>
        <rFont val="BIZ UDゴシック"/>
        <family val="3"/>
        <charset val="128"/>
      </rPr>
      <t>(夏休)</t>
    </r>
    <rPh sb="0" eb="1">
      <t>ヤス</t>
    </rPh>
    <phoneticPr fontId="10"/>
  </si>
  <si>
    <r>
      <t xml:space="preserve">〇*       </t>
    </r>
    <r>
      <rPr>
        <sz val="16"/>
        <rFont val="BIZ UDゴシック"/>
        <family val="3"/>
        <charset val="128"/>
      </rPr>
      <t>16:30会議</t>
    </r>
    <phoneticPr fontId="10"/>
  </si>
  <si>
    <r>
      <t xml:space="preserve">明   </t>
    </r>
    <r>
      <rPr>
        <sz val="16"/>
        <rFont val="BIZ UDゴシック"/>
        <family val="3"/>
        <charset val="128"/>
      </rPr>
      <t xml:space="preserve">  </t>
    </r>
    <phoneticPr fontId="10"/>
  </si>
  <si>
    <r>
      <t>▲　　</t>
    </r>
    <r>
      <rPr>
        <sz val="16"/>
        <rFont val="BIZ UDゴシック"/>
        <family val="3"/>
        <charset val="128"/>
      </rPr>
      <t>2次　　当直</t>
    </r>
    <phoneticPr fontId="10"/>
  </si>
  <si>
    <r>
      <t xml:space="preserve">〇 </t>
    </r>
    <r>
      <rPr>
        <sz val="18"/>
        <rFont val="BIZ UDゴシック"/>
        <family val="3"/>
        <charset val="128"/>
      </rPr>
      <t xml:space="preserve"> 　</t>
    </r>
    <phoneticPr fontId="10"/>
  </si>
  <si>
    <r>
      <rPr>
        <sz val="10"/>
        <color rgb="FFFF0000"/>
        <rFont val="BIZ UDゴシック"/>
        <family val="3"/>
        <charset val="128"/>
      </rPr>
      <t>〇</t>
    </r>
    <r>
      <rPr>
        <sz val="10"/>
        <color theme="1"/>
        <rFont val="BIZ UDゴシック"/>
        <family val="3"/>
        <charset val="128"/>
      </rPr>
      <t xml:space="preserve">
(宿直)</t>
    </r>
    <rPh sb="3" eb="5">
      <t>シュクチョク</t>
    </rPh>
    <phoneticPr fontId="4"/>
  </si>
  <si>
    <t>〇   集中治療地方会＠旭川</t>
    <rPh sb="4" eb="8">
      <t>シュウチュウチリョウ</t>
    </rPh>
    <rPh sb="8" eb="11">
      <t>チホウカイ</t>
    </rPh>
    <rPh sb="12" eb="14">
      <t>アサヒカワ</t>
    </rPh>
    <phoneticPr fontId="10"/>
  </si>
  <si>
    <t>〇*</t>
    <phoneticPr fontId="10"/>
  </si>
  <si>
    <t>●</t>
    <phoneticPr fontId="10"/>
  </si>
  <si>
    <t>仙北 達也</t>
    <phoneticPr fontId="1"/>
  </si>
  <si>
    <t>麻酔科</t>
    <rPh sb="0" eb="3">
      <t>マスイカ</t>
    </rPh>
    <phoneticPr fontId="4"/>
  </si>
  <si>
    <t>宿直</t>
    <rPh sb="0" eb="2">
      <t>シュクチョク</t>
    </rPh>
    <phoneticPr fontId="4"/>
  </si>
  <si>
    <t>関</t>
  </si>
  <si>
    <t>関</t>
    <phoneticPr fontId="4"/>
  </si>
  <si>
    <t>WIND</t>
    <phoneticPr fontId="4"/>
  </si>
  <si>
    <t>奥</t>
    <phoneticPr fontId="4"/>
  </si>
  <si>
    <t>工藤</t>
  </si>
  <si>
    <t>工藤</t>
    <phoneticPr fontId="4"/>
  </si>
  <si>
    <t>大出</t>
  </si>
  <si>
    <t>大出</t>
    <phoneticPr fontId="4"/>
  </si>
  <si>
    <t>蝦名</t>
    <phoneticPr fontId="4"/>
  </si>
  <si>
    <t>山本竜</t>
    <phoneticPr fontId="4"/>
  </si>
  <si>
    <t>齋藤</t>
    <phoneticPr fontId="4"/>
  </si>
  <si>
    <t>小林範</t>
    <phoneticPr fontId="4"/>
  </si>
  <si>
    <t>病理</t>
    <rPh sb="0" eb="2">
      <t>ビョウリ</t>
    </rPh>
    <phoneticPr fontId="15"/>
  </si>
  <si>
    <t>中桐</t>
    <rPh sb="0" eb="2">
      <t>ナカギリ</t>
    </rPh>
    <phoneticPr fontId="15"/>
  </si>
  <si>
    <t>大寺</t>
  </si>
  <si>
    <t>高野</t>
  </si>
  <si>
    <t>山田和</t>
    <phoneticPr fontId="15"/>
  </si>
  <si>
    <t>寺谷</t>
  </si>
  <si>
    <t>岩間美</t>
    <phoneticPr fontId="15"/>
  </si>
  <si>
    <t>小川</t>
    <phoneticPr fontId="15"/>
  </si>
  <si>
    <t>脇坂</t>
    <phoneticPr fontId="15"/>
  </si>
  <si>
    <t>木田</t>
    <phoneticPr fontId="15"/>
  </si>
  <si>
    <t>高畑</t>
    <phoneticPr fontId="15"/>
  </si>
  <si>
    <t>岩間小</t>
    <phoneticPr fontId="15"/>
  </si>
  <si>
    <t>梅澤</t>
    <phoneticPr fontId="15"/>
  </si>
  <si>
    <t>平野</t>
    <phoneticPr fontId="15"/>
  </si>
  <si>
    <t>加藤政</t>
  </si>
  <si>
    <t>吉田あ</t>
  </si>
  <si>
    <t>加藤諒</t>
  </si>
  <si>
    <t>國澤</t>
    <phoneticPr fontId="4"/>
  </si>
  <si>
    <t>下手　岡田</t>
    <phoneticPr fontId="4"/>
  </si>
  <si>
    <t>齊藤萌</t>
    <phoneticPr fontId="4"/>
  </si>
  <si>
    <t>出口　笹</t>
    <phoneticPr fontId="4"/>
  </si>
  <si>
    <t>菅野　池邉</t>
    <phoneticPr fontId="4"/>
  </si>
  <si>
    <t>西原　完山</t>
    <phoneticPr fontId="4"/>
  </si>
  <si>
    <t>戸田</t>
    <phoneticPr fontId="4"/>
  </si>
  <si>
    <t>岡田　西原</t>
    <phoneticPr fontId="4"/>
  </si>
  <si>
    <t>山下　下手</t>
    <phoneticPr fontId="4"/>
  </si>
  <si>
    <t>光島</t>
    <phoneticPr fontId="4"/>
  </si>
  <si>
    <t>池邉　齋藤大</t>
    <phoneticPr fontId="4"/>
  </si>
  <si>
    <t>精神</t>
    <phoneticPr fontId="4"/>
  </si>
  <si>
    <r>
      <t xml:space="preserve">〇*      </t>
    </r>
    <r>
      <rPr>
        <sz val="16"/>
        <rFont val="BIZ UDゴシック"/>
        <family val="3"/>
        <charset val="128"/>
      </rPr>
      <t>夜勤×</t>
    </r>
    <phoneticPr fontId="10"/>
  </si>
  <si>
    <r>
      <rPr>
        <sz val="18"/>
        <rFont val="BIZ UDゴシック"/>
        <family val="3"/>
        <charset val="128"/>
      </rPr>
      <t>〇</t>
    </r>
    <r>
      <rPr>
        <sz val="20"/>
        <rFont val="BIZ UDゴシック"/>
        <family val="3"/>
        <charset val="128"/>
      </rPr>
      <t xml:space="preserve">      </t>
    </r>
    <r>
      <rPr>
        <sz val="14"/>
        <rFont val="BIZ UDゴシック"/>
        <family val="3"/>
        <charset val="128"/>
      </rPr>
      <t>13:30       16:00　会議</t>
    </r>
    <r>
      <rPr>
        <sz val="20"/>
        <rFont val="BIZ UDゴシック"/>
        <family val="3"/>
        <charset val="128"/>
      </rPr>
      <t>　</t>
    </r>
    <phoneticPr fontId="10"/>
  </si>
  <si>
    <r>
      <t xml:space="preserve">〇      </t>
    </r>
    <r>
      <rPr>
        <sz val="16"/>
        <rFont val="BIZ UDゴシック"/>
        <family val="3"/>
        <charset val="128"/>
      </rPr>
      <t>18:30     　消防</t>
    </r>
    <r>
      <rPr>
        <sz val="20"/>
        <rFont val="BIZ UDゴシック"/>
        <family val="3"/>
        <charset val="128"/>
      </rPr>
      <t>　</t>
    </r>
    <phoneticPr fontId="10"/>
  </si>
  <si>
    <r>
      <t>〇          　</t>
    </r>
    <r>
      <rPr>
        <sz val="16"/>
        <rFont val="BIZ UDゴシック"/>
        <family val="3"/>
        <charset val="128"/>
      </rPr>
      <t>13:30消防</t>
    </r>
    <r>
      <rPr>
        <sz val="20"/>
        <rFont val="BIZ UDゴシック"/>
        <family val="3"/>
        <charset val="128"/>
      </rPr>
      <t>　　</t>
    </r>
    <phoneticPr fontId="10"/>
  </si>
  <si>
    <r>
      <t xml:space="preserve">〇        </t>
    </r>
    <r>
      <rPr>
        <sz val="16"/>
        <rFont val="BIZ UDゴシック"/>
        <family val="3"/>
        <charset val="128"/>
      </rPr>
      <t>院内　会議</t>
    </r>
    <phoneticPr fontId="10"/>
  </si>
  <si>
    <r>
      <t xml:space="preserve">〇       </t>
    </r>
    <r>
      <rPr>
        <sz val="16"/>
        <rFont val="BIZ UDゴシック"/>
        <family val="3"/>
        <charset val="128"/>
      </rPr>
      <t>15:30会議</t>
    </r>
    <phoneticPr fontId="10"/>
  </si>
  <si>
    <r>
      <t>休　 　</t>
    </r>
    <r>
      <rPr>
        <sz val="16"/>
        <rFont val="BIZ UDゴシック"/>
        <family val="3"/>
        <charset val="128"/>
      </rPr>
      <t>北海道        ﾏﾗｿﾝ</t>
    </r>
    <phoneticPr fontId="10"/>
  </si>
  <si>
    <r>
      <t xml:space="preserve">●     </t>
    </r>
    <r>
      <rPr>
        <sz val="14"/>
        <rFont val="BIZ UDゴシック"/>
        <family val="3"/>
        <charset val="128"/>
      </rPr>
      <t>高橋</t>
    </r>
    <r>
      <rPr>
        <sz val="18"/>
        <rFont val="BIZ UDゴシック"/>
        <family val="3"/>
        <charset val="128"/>
      </rPr>
      <t>正</t>
    </r>
    <phoneticPr fontId="10"/>
  </si>
  <si>
    <r>
      <t xml:space="preserve">●     </t>
    </r>
    <r>
      <rPr>
        <sz val="14"/>
        <rFont val="BIZ UDゴシック"/>
        <family val="3"/>
        <charset val="128"/>
      </rPr>
      <t>高橋</t>
    </r>
    <r>
      <rPr>
        <sz val="18"/>
        <rFont val="BIZ UDゴシック"/>
        <family val="3"/>
        <charset val="128"/>
      </rPr>
      <t>悠</t>
    </r>
    <phoneticPr fontId="10"/>
  </si>
  <si>
    <r>
      <t xml:space="preserve">●     </t>
    </r>
    <r>
      <rPr>
        <sz val="14"/>
        <rFont val="BIZ UDゴシック"/>
        <family val="3"/>
        <charset val="128"/>
      </rPr>
      <t>高橋</t>
    </r>
    <r>
      <rPr>
        <sz val="18"/>
        <rFont val="BIZ UDゴシック"/>
        <family val="3"/>
        <charset val="128"/>
      </rPr>
      <t>正</t>
    </r>
    <phoneticPr fontId="4"/>
  </si>
  <si>
    <r>
      <rPr>
        <sz val="18"/>
        <color rgb="FFFF0000"/>
        <rFont val="BIZ UDゴシック"/>
        <family val="3"/>
        <charset val="128"/>
      </rPr>
      <t>〇</t>
    </r>
    <r>
      <rPr>
        <sz val="18"/>
        <color theme="1"/>
        <rFont val="BIZ UDゴシック"/>
        <family val="3"/>
        <charset val="128"/>
      </rPr>
      <t xml:space="preserve">
(宿直)</t>
    </r>
    <rPh sb="3" eb="5">
      <t>シュクチョク</t>
    </rPh>
    <phoneticPr fontId="4"/>
  </si>
  <si>
    <t>㉕*</t>
  </si>
  <si>
    <t>休</t>
    <rPh sb="0" eb="1">
      <t>ヤス</t>
    </rPh>
    <phoneticPr fontId="10"/>
  </si>
  <si>
    <t>京野 里虹</t>
    <phoneticPr fontId="1"/>
  </si>
  <si>
    <t>祝日</t>
    <rPh sb="0" eb="2">
      <t>シュクジツ</t>
    </rPh>
    <phoneticPr fontId="4"/>
  </si>
  <si>
    <r>
      <t xml:space="preserve">〇         </t>
    </r>
    <r>
      <rPr>
        <sz val="16"/>
        <rFont val="BIZ UDゴシック"/>
        <family val="3"/>
        <charset val="128"/>
      </rPr>
      <t>夜  院外会議</t>
    </r>
    <r>
      <rPr>
        <sz val="20"/>
        <rFont val="BIZ UDゴシック"/>
        <family val="3"/>
        <charset val="128"/>
      </rPr>
      <t>　</t>
    </r>
    <phoneticPr fontId="10"/>
  </si>
  <si>
    <r>
      <t xml:space="preserve">〇*       </t>
    </r>
    <r>
      <rPr>
        <sz val="16"/>
        <rFont val="BIZ UDゴシック"/>
        <family val="3"/>
        <charset val="128"/>
      </rPr>
      <t>救急カンファ</t>
    </r>
    <phoneticPr fontId="10"/>
  </si>
  <si>
    <r>
      <t xml:space="preserve">〇*            </t>
    </r>
    <r>
      <rPr>
        <sz val="16"/>
        <rFont val="BIZ UDゴシック"/>
        <family val="3"/>
        <charset val="128"/>
      </rPr>
      <t>18:30       　</t>
    </r>
    <r>
      <rPr>
        <sz val="14"/>
        <rFont val="BIZ UDゴシック"/>
        <family val="3"/>
        <charset val="128"/>
      </rPr>
      <t>消防会議</t>
    </r>
    <phoneticPr fontId="10"/>
  </si>
  <si>
    <r>
      <t>休　</t>
    </r>
    <r>
      <rPr>
        <sz val="14"/>
        <rFont val="BIZ UDゴシック"/>
        <family val="3"/>
        <charset val="128"/>
      </rPr>
      <t>(子看休)</t>
    </r>
    <rPh sb="0" eb="1">
      <t>ヤス</t>
    </rPh>
    <rPh sb="4" eb="5">
      <t>カン</t>
    </rPh>
    <phoneticPr fontId="10"/>
  </si>
  <si>
    <r>
      <t xml:space="preserve">〇       </t>
    </r>
    <r>
      <rPr>
        <sz val="16"/>
        <rFont val="BIZ UDゴシック"/>
        <family val="3"/>
        <charset val="128"/>
      </rPr>
      <t>16:30会議</t>
    </r>
    <phoneticPr fontId="10"/>
  </si>
  <si>
    <r>
      <t xml:space="preserve">〇       </t>
    </r>
    <r>
      <rPr>
        <sz val="16"/>
        <rFont val="BIZ UDゴシック"/>
        <family val="3"/>
        <charset val="128"/>
      </rPr>
      <t>16:15会議</t>
    </r>
    <rPh sb="13" eb="15">
      <t>カイギ</t>
    </rPh>
    <phoneticPr fontId="10"/>
  </si>
  <si>
    <r>
      <t xml:space="preserve">〇       </t>
    </r>
    <r>
      <rPr>
        <sz val="16"/>
        <rFont val="BIZ UDゴシック"/>
        <family val="3"/>
        <charset val="128"/>
      </rPr>
      <t>救急カンファ</t>
    </r>
    <phoneticPr fontId="10"/>
  </si>
  <si>
    <r>
      <t>休 　</t>
    </r>
    <r>
      <rPr>
        <sz val="16"/>
        <rFont val="BIZ UDゴシック"/>
        <family val="3"/>
        <charset val="128"/>
      </rPr>
      <t xml:space="preserve"> </t>
    </r>
    <phoneticPr fontId="10"/>
  </si>
  <si>
    <t>金野</t>
    <phoneticPr fontId="4"/>
  </si>
  <si>
    <t>黒須</t>
    <phoneticPr fontId="4"/>
  </si>
  <si>
    <t>三田村</t>
    <phoneticPr fontId="4"/>
  </si>
  <si>
    <t>女屋</t>
    <phoneticPr fontId="4"/>
  </si>
  <si>
    <t>玉城</t>
    <phoneticPr fontId="4"/>
  </si>
  <si>
    <t>井平</t>
    <phoneticPr fontId="4"/>
  </si>
  <si>
    <t>大上</t>
  </si>
  <si>
    <t>山田</t>
  </si>
  <si>
    <t>田口</t>
  </si>
  <si>
    <t>牧野</t>
  </si>
  <si>
    <t>当：鹿野</t>
  </si>
  <si>
    <t>山田錬</t>
  </si>
  <si>
    <t>山田和</t>
  </si>
  <si>
    <t>小田島　岡田</t>
  </si>
  <si>
    <t>菊池　下手</t>
    <phoneticPr fontId="4"/>
  </si>
  <si>
    <t>戸田　山下</t>
    <phoneticPr fontId="4"/>
  </si>
  <si>
    <t>笹　齊藤萌</t>
    <phoneticPr fontId="4"/>
  </si>
  <si>
    <t>佐々木　笹</t>
    <phoneticPr fontId="4"/>
  </si>
  <si>
    <t>齊藤萌　樋口</t>
    <phoneticPr fontId="4"/>
  </si>
  <si>
    <t>ACS</t>
    <phoneticPr fontId="4"/>
  </si>
  <si>
    <t>小児</t>
    <phoneticPr fontId="4"/>
  </si>
  <si>
    <t xml:space="preserve">明  </t>
    <phoneticPr fontId="10"/>
  </si>
  <si>
    <t>㉕**</t>
    <phoneticPr fontId="10"/>
  </si>
  <si>
    <t>●      　</t>
    <phoneticPr fontId="10"/>
  </si>
  <si>
    <t xml:space="preserve">〇　 </t>
    <phoneticPr fontId="10"/>
  </si>
  <si>
    <t>明　　移動</t>
    <rPh sb="3" eb="5">
      <t>イドウ</t>
    </rPh>
    <phoneticPr fontId="10"/>
  </si>
  <si>
    <t>〇  　移動</t>
    <rPh sb="4" eb="6">
      <t>イドウ</t>
    </rPh>
    <phoneticPr fontId="10"/>
  </si>
  <si>
    <t xml:space="preserve">明     </t>
    <rPh sb="0" eb="1">
      <t>アケ</t>
    </rPh>
    <phoneticPr fontId="10"/>
  </si>
  <si>
    <t>●　</t>
    <phoneticPr fontId="10"/>
  </si>
  <si>
    <t>明</t>
    <rPh sb="0" eb="1">
      <t>アケ</t>
    </rPh>
    <phoneticPr fontId="10"/>
  </si>
  <si>
    <r>
      <t xml:space="preserve">〇      </t>
    </r>
    <r>
      <rPr>
        <sz val="16"/>
        <rFont val="BIZ UDゴシック"/>
        <family val="3"/>
        <charset val="128"/>
      </rPr>
      <t>17:30会議</t>
    </r>
    <r>
      <rPr>
        <sz val="20"/>
        <rFont val="BIZ UDゴシック"/>
        <family val="3"/>
        <charset val="128"/>
      </rPr>
      <t>　</t>
    </r>
    <phoneticPr fontId="10"/>
  </si>
  <si>
    <r>
      <t>〇   　</t>
    </r>
    <r>
      <rPr>
        <sz val="16"/>
        <rFont val="BIZ UDゴシック"/>
        <family val="3"/>
        <charset val="128"/>
      </rPr>
      <t>地方会＠旭川</t>
    </r>
    <rPh sb="5" eb="7">
      <t>チホウ</t>
    </rPh>
    <rPh sb="9" eb="11">
      <t>アサヒカワ</t>
    </rPh>
    <phoneticPr fontId="10"/>
  </si>
  <si>
    <r>
      <t xml:space="preserve">〇*        </t>
    </r>
    <r>
      <rPr>
        <sz val="16"/>
        <rFont val="BIZ UDゴシック"/>
        <family val="3"/>
        <charset val="128"/>
      </rPr>
      <t>院内　会議</t>
    </r>
    <phoneticPr fontId="10"/>
  </si>
  <si>
    <r>
      <t>〇</t>
    </r>
    <r>
      <rPr>
        <sz val="16"/>
        <rFont val="BIZ UDゴシック"/>
        <family val="3"/>
        <charset val="128"/>
      </rPr>
      <t>DMAT　</t>
    </r>
    <phoneticPr fontId="10"/>
  </si>
  <si>
    <r>
      <t xml:space="preserve">〇  </t>
    </r>
    <r>
      <rPr>
        <sz val="16"/>
        <rFont val="BIZ UDゴシック"/>
        <family val="3"/>
        <charset val="128"/>
      </rPr>
      <t>15:30     会議</t>
    </r>
    <phoneticPr fontId="10"/>
  </si>
  <si>
    <r>
      <t xml:space="preserve">〇       </t>
    </r>
    <r>
      <rPr>
        <sz val="16"/>
        <rFont val="BIZ UDゴシック"/>
        <family val="3"/>
        <charset val="128"/>
      </rPr>
      <t>16:15会議</t>
    </r>
    <phoneticPr fontId="10"/>
  </si>
  <si>
    <r>
      <t>▲　　</t>
    </r>
    <r>
      <rPr>
        <sz val="18"/>
        <rFont val="BIZ UDゴシック"/>
        <family val="3"/>
        <charset val="128"/>
      </rPr>
      <t>2次　当直</t>
    </r>
    <phoneticPr fontId="10"/>
  </si>
  <si>
    <t>工藤</t>
    <phoneticPr fontId="7"/>
  </si>
  <si>
    <t>大出</t>
    <phoneticPr fontId="7"/>
  </si>
  <si>
    <t>金野</t>
    <phoneticPr fontId="7"/>
  </si>
  <si>
    <t>戸田　壮太郎</t>
    <phoneticPr fontId="1"/>
  </si>
  <si>
    <t>上島 優太朗</t>
    <rPh sb="0" eb="2">
      <t>ウエシマ</t>
    </rPh>
    <rPh sb="3" eb="6">
      <t>ユウタロウ</t>
    </rPh>
    <phoneticPr fontId="1"/>
  </si>
  <si>
    <t>土</t>
    <phoneticPr fontId="15"/>
  </si>
  <si>
    <t>日</t>
    <phoneticPr fontId="15"/>
  </si>
  <si>
    <t>奥田耕</t>
    <phoneticPr fontId="15"/>
  </si>
  <si>
    <t>菅原基</t>
    <phoneticPr fontId="15"/>
  </si>
  <si>
    <t>吉田あ</t>
    <phoneticPr fontId="15"/>
  </si>
  <si>
    <t>加藤諒</t>
    <phoneticPr fontId="15"/>
  </si>
  <si>
    <t>吉田匠</t>
    <phoneticPr fontId="15"/>
  </si>
  <si>
    <t>玉置　　北大</t>
    <rPh sb="0" eb="2">
      <t>タマキ</t>
    </rPh>
    <rPh sb="4" eb="6">
      <t>ホクダイ</t>
    </rPh>
    <phoneticPr fontId="15"/>
  </si>
  <si>
    <t>鈴木章</t>
    <phoneticPr fontId="15"/>
  </si>
  <si>
    <t>鈴木比</t>
    <phoneticPr fontId="15"/>
  </si>
  <si>
    <t>水野</t>
  </si>
  <si>
    <t>大下</t>
  </si>
  <si>
    <t>落合</t>
  </si>
  <si>
    <t>渋谷</t>
    <rPh sb="0" eb="2">
      <t>シブヤ</t>
    </rPh>
    <phoneticPr fontId="15"/>
  </si>
  <si>
    <t>亀谷</t>
    <rPh sb="0" eb="2">
      <t>カメタニ</t>
    </rPh>
    <phoneticPr fontId="15"/>
  </si>
  <si>
    <t>佐々木</t>
    <rPh sb="0" eb="3">
      <t>ササキ</t>
    </rPh>
    <phoneticPr fontId="15"/>
  </si>
  <si>
    <t>茂木</t>
    <phoneticPr fontId="15"/>
  </si>
  <si>
    <t>〇▲</t>
    <phoneticPr fontId="15"/>
  </si>
  <si>
    <t>村井</t>
    <phoneticPr fontId="7"/>
  </si>
  <si>
    <t>幡</t>
    <phoneticPr fontId="7"/>
  </si>
  <si>
    <t>佐々木　笹</t>
    <phoneticPr fontId="7"/>
  </si>
  <si>
    <t>小田島　菊池</t>
    <phoneticPr fontId="7"/>
  </si>
  <si>
    <t>出口　池邉</t>
    <phoneticPr fontId="7"/>
  </si>
  <si>
    <t>谷口　國澤</t>
    <phoneticPr fontId="7"/>
  </si>
  <si>
    <t>下井</t>
    <phoneticPr fontId="7"/>
  </si>
  <si>
    <t>西原　谷口</t>
    <phoneticPr fontId="7"/>
  </si>
  <si>
    <t>光島　小田島</t>
    <phoneticPr fontId="7"/>
  </si>
  <si>
    <t>樋口</t>
    <phoneticPr fontId="7"/>
  </si>
  <si>
    <t>戸田　岡田</t>
    <phoneticPr fontId="7"/>
  </si>
  <si>
    <t>菅野　紗希</t>
    <phoneticPr fontId="1"/>
  </si>
  <si>
    <t>週休日</t>
  </si>
  <si>
    <t>宿直</t>
  </si>
  <si>
    <t>明け</t>
  </si>
  <si>
    <t>休日</t>
  </si>
  <si>
    <t>休</t>
    <phoneticPr fontId="10"/>
  </si>
  <si>
    <t>月</t>
    <phoneticPr fontId="15"/>
  </si>
  <si>
    <t>加藤政</t>
    <phoneticPr fontId="15"/>
  </si>
  <si>
    <t>佐藤朝</t>
    <phoneticPr fontId="15"/>
  </si>
  <si>
    <t>佐藤智</t>
    <phoneticPr fontId="15"/>
  </si>
  <si>
    <t>早坂</t>
    <rPh sb="0" eb="2">
      <t>ハヤサカ</t>
    </rPh>
    <phoneticPr fontId="15"/>
  </si>
  <si>
    <t>佐藤貴</t>
    <phoneticPr fontId="15"/>
  </si>
  <si>
    <t>木井</t>
    <rPh sb="0" eb="2">
      <t>キイ</t>
    </rPh>
    <phoneticPr fontId="15"/>
  </si>
  <si>
    <t xml:space="preserve">  高橋正</t>
    <phoneticPr fontId="15"/>
  </si>
  <si>
    <t>佐々木北大</t>
    <rPh sb="0" eb="3">
      <t>ササキ</t>
    </rPh>
    <rPh sb="3" eb="5">
      <t>ホクダイ</t>
    </rPh>
    <phoneticPr fontId="15"/>
  </si>
  <si>
    <t>辻野</t>
  </si>
  <si>
    <t>高島</t>
    <phoneticPr fontId="15"/>
  </si>
  <si>
    <t>櫻庭</t>
    <phoneticPr fontId="15"/>
  </si>
  <si>
    <t>下井・池邉</t>
  </si>
  <si>
    <t>齊藤（萌）</t>
  </si>
  <si>
    <t>斎藤（桃）</t>
  </si>
  <si>
    <t>齋藤（大）</t>
  </si>
  <si>
    <t>出口・池邉</t>
  </si>
  <si>
    <t>小林</t>
  </si>
  <si>
    <t>田辺</t>
  </si>
  <si>
    <t>星山</t>
  </si>
  <si>
    <t>井上</t>
  </si>
  <si>
    <t>干場</t>
  </si>
  <si>
    <t>長原</t>
  </si>
  <si>
    <t>宍戸</t>
  </si>
  <si>
    <t>二木</t>
  </si>
  <si>
    <t>藤堂</t>
  </si>
  <si>
    <t>上野</t>
  </si>
  <si>
    <t>神山</t>
  </si>
  <si>
    <t>澁谷</t>
  </si>
  <si>
    <t>鵜野</t>
  </si>
  <si>
    <t>辻本</t>
  </si>
  <si>
    <t>西村</t>
  </si>
  <si>
    <t>東</t>
  </si>
  <si>
    <t>水口</t>
    <phoneticPr fontId="15"/>
  </si>
  <si>
    <t>斉藤駿</t>
    <phoneticPr fontId="15"/>
  </si>
  <si>
    <t>富樫</t>
    <phoneticPr fontId="15"/>
  </si>
  <si>
    <t>大塚</t>
    <phoneticPr fontId="15"/>
  </si>
  <si>
    <t>塚本</t>
    <phoneticPr fontId="15"/>
  </si>
  <si>
    <t>岩田</t>
    <phoneticPr fontId="15"/>
  </si>
  <si>
    <t>伊藤</t>
    <phoneticPr fontId="15"/>
  </si>
  <si>
    <t>中原</t>
    <phoneticPr fontId="15"/>
  </si>
  <si>
    <t>若山</t>
    <phoneticPr fontId="15"/>
  </si>
  <si>
    <t>今谷</t>
    <phoneticPr fontId="15"/>
  </si>
  <si>
    <t>薮田</t>
    <phoneticPr fontId="15"/>
  </si>
  <si>
    <t>荒</t>
    <phoneticPr fontId="15"/>
  </si>
  <si>
    <t>岩崎</t>
    <phoneticPr fontId="15"/>
  </si>
  <si>
    <t>境</t>
    <phoneticPr fontId="15"/>
  </si>
  <si>
    <t>佐藤</t>
    <phoneticPr fontId="15"/>
  </si>
  <si>
    <t>恩地</t>
    <phoneticPr fontId="15"/>
  </si>
  <si>
    <t>加賀里</t>
    <rPh sb="0" eb="3">
      <t>カガサト</t>
    </rPh>
    <phoneticPr fontId="15"/>
  </si>
  <si>
    <t>武内</t>
    <rPh sb="0" eb="2">
      <t>タケウチ</t>
    </rPh>
    <phoneticPr fontId="15"/>
  </si>
  <si>
    <t>髙橋順</t>
  </si>
  <si>
    <t>吉澤</t>
    <rPh sb="0" eb="2">
      <t>ヨシザワ</t>
    </rPh>
    <phoneticPr fontId="15"/>
  </si>
  <si>
    <t>荻原</t>
    <phoneticPr fontId="15"/>
  </si>
  <si>
    <t>三島</t>
    <phoneticPr fontId="15"/>
  </si>
  <si>
    <t>田中祐</t>
    <phoneticPr fontId="15"/>
  </si>
  <si>
    <t>石田</t>
    <phoneticPr fontId="15"/>
  </si>
  <si>
    <t>瀧田</t>
    <phoneticPr fontId="15"/>
  </si>
  <si>
    <t>山崎</t>
    <phoneticPr fontId="15"/>
  </si>
  <si>
    <t>吉田</t>
    <phoneticPr fontId="15"/>
  </si>
  <si>
    <t>山澤</t>
    <phoneticPr fontId="15"/>
  </si>
  <si>
    <t>澤口</t>
    <phoneticPr fontId="15"/>
  </si>
  <si>
    <t>吉田枝</t>
    <phoneticPr fontId="15"/>
  </si>
  <si>
    <t>小池</t>
    <phoneticPr fontId="15"/>
  </si>
  <si>
    <t>白鳥</t>
    <phoneticPr fontId="15"/>
  </si>
  <si>
    <t>斎藤桃</t>
    <phoneticPr fontId="7"/>
  </si>
  <si>
    <t>齊藤萌</t>
    <phoneticPr fontId="7"/>
  </si>
  <si>
    <t>齋藤大</t>
    <phoneticPr fontId="7"/>
  </si>
  <si>
    <r>
      <t xml:space="preserve">明  </t>
    </r>
    <r>
      <rPr>
        <sz val="16"/>
        <rFont val="BIZ UDゴシック"/>
        <family val="3"/>
        <charset val="128"/>
      </rPr>
      <t xml:space="preserve">  　</t>
    </r>
    <r>
      <rPr>
        <sz val="16"/>
        <color rgb="FFFF0000"/>
        <rFont val="BIZ UDゴシック"/>
        <family val="3"/>
        <charset val="128"/>
      </rPr>
      <t>夕院外会議</t>
    </r>
    <r>
      <rPr>
        <sz val="16"/>
        <rFont val="BIZ UDゴシック"/>
        <family val="3"/>
        <charset val="128"/>
      </rPr>
      <t>　</t>
    </r>
    <phoneticPr fontId="10"/>
  </si>
  <si>
    <r>
      <t xml:space="preserve">〇      </t>
    </r>
    <r>
      <rPr>
        <sz val="16"/>
        <color rgb="FFFF0000"/>
        <rFont val="BIZ UDゴシック"/>
        <family val="3"/>
        <charset val="128"/>
      </rPr>
      <t>16:00会議</t>
    </r>
    <r>
      <rPr>
        <sz val="20"/>
        <rFont val="BIZ UDゴシック"/>
        <family val="3"/>
        <charset val="128"/>
      </rPr>
      <t>　</t>
    </r>
    <phoneticPr fontId="10"/>
  </si>
  <si>
    <r>
      <t xml:space="preserve">〇      </t>
    </r>
    <r>
      <rPr>
        <sz val="16"/>
        <color rgb="FFFF0000"/>
        <rFont val="BIZ UDゴシック"/>
        <family val="3"/>
        <charset val="128"/>
      </rPr>
      <t>17:00会議</t>
    </r>
    <r>
      <rPr>
        <sz val="20"/>
        <rFont val="BIZ UDゴシック"/>
        <family val="3"/>
        <charset val="128"/>
      </rPr>
      <t>　</t>
    </r>
    <phoneticPr fontId="10"/>
  </si>
  <si>
    <r>
      <t xml:space="preserve">〇       </t>
    </r>
    <r>
      <rPr>
        <sz val="16"/>
        <color rgb="FFFF0000"/>
        <rFont val="BIZ UDゴシック"/>
        <family val="3"/>
        <charset val="128"/>
      </rPr>
      <t>16:30会議</t>
    </r>
    <r>
      <rPr>
        <sz val="20"/>
        <rFont val="BIZ UDゴシック"/>
        <family val="3"/>
        <charset val="128"/>
      </rPr>
      <t>　</t>
    </r>
    <phoneticPr fontId="10"/>
  </si>
  <si>
    <r>
      <t xml:space="preserve">休　 </t>
    </r>
    <r>
      <rPr>
        <sz val="16"/>
        <color rgb="FFFF0000"/>
        <rFont val="BIZ UDゴシック"/>
        <family val="3"/>
        <charset val="128"/>
      </rPr>
      <t>(夏休)</t>
    </r>
    <rPh sb="0" eb="1">
      <t>ヤス</t>
    </rPh>
    <phoneticPr fontId="10"/>
  </si>
  <si>
    <r>
      <t xml:space="preserve">〇         </t>
    </r>
    <r>
      <rPr>
        <sz val="16"/>
        <color rgb="FFFF0000"/>
        <rFont val="BIZ UDゴシック"/>
        <family val="3"/>
        <charset val="128"/>
      </rPr>
      <t>夜院外会議</t>
    </r>
    <r>
      <rPr>
        <sz val="20"/>
        <rFont val="BIZ UDゴシック"/>
        <family val="3"/>
        <charset val="128"/>
      </rPr>
      <t>　</t>
    </r>
    <phoneticPr fontId="10"/>
  </si>
  <si>
    <r>
      <t xml:space="preserve">〇*    </t>
    </r>
    <r>
      <rPr>
        <sz val="16"/>
        <color rgb="FFFF0000"/>
        <rFont val="BIZ UDゴシック"/>
        <family val="3"/>
        <charset val="128"/>
      </rPr>
      <t>可能なら夜勤</t>
    </r>
    <phoneticPr fontId="10"/>
  </si>
  <si>
    <r>
      <t xml:space="preserve">明     </t>
    </r>
    <r>
      <rPr>
        <sz val="16"/>
        <color rgb="FFFF0000"/>
        <rFont val="BIZ UDゴシック"/>
        <family val="3"/>
        <charset val="128"/>
      </rPr>
      <t>明け可</t>
    </r>
    <phoneticPr fontId="10"/>
  </si>
  <si>
    <r>
      <t xml:space="preserve">休     </t>
    </r>
    <r>
      <rPr>
        <sz val="16"/>
        <color rgb="FFFF0000"/>
        <rFont val="BIZ UDゴシック"/>
        <family val="3"/>
        <charset val="128"/>
      </rPr>
      <t>急病   明け</t>
    </r>
    <phoneticPr fontId="10"/>
  </si>
  <si>
    <r>
      <t xml:space="preserve">休     </t>
    </r>
    <r>
      <rPr>
        <sz val="16"/>
        <color rgb="FFFF0000"/>
        <rFont val="BIZ UDゴシック"/>
        <family val="3"/>
        <charset val="128"/>
      </rPr>
      <t>夜勤×</t>
    </r>
    <phoneticPr fontId="10"/>
  </si>
  <si>
    <r>
      <t xml:space="preserve">明       </t>
    </r>
    <r>
      <rPr>
        <sz val="16"/>
        <color rgb="FFFF0000"/>
        <rFont val="BIZ UDゴシック"/>
        <family val="3"/>
        <charset val="128"/>
      </rPr>
      <t>急病センター</t>
    </r>
    <phoneticPr fontId="10"/>
  </si>
  <si>
    <r>
      <t xml:space="preserve">●*      </t>
    </r>
    <r>
      <rPr>
        <sz val="16"/>
        <color rgb="FFFF0000"/>
        <rFont val="BIZ UDゴシック"/>
        <family val="3"/>
        <charset val="128"/>
      </rPr>
      <t>夜勤可</t>
    </r>
    <r>
      <rPr>
        <sz val="20"/>
        <rFont val="BIZ UDゴシック"/>
        <family val="3"/>
        <charset val="128"/>
      </rPr>
      <t>　</t>
    </r>
    <phoneticPr fontId="10"/>
  </si>
  <si>
    <r>
      <t xml:space="preserve">休     </t>
    </r>
    <r>
      <rPr>
        <sz val="16"/>
        <color rgb="FFFF0000"/>
        <rFont val="BIZ UDゴシック"/>
        <family val="3"/>
        <charset val="128"/>
      </rPr>
      <t>日勤×</t>
    </r>
    <phoneticPr fontId="10"/>
  </si>
  <si>
    <r>
      <t>休　　</t>
    </r>
    <r>
      <rPr>
        <sz val="16"/>
        <color rgb="FFFF0000"/>
        <rFont val="BIZ UDゴシック"/>
        <family val="3"/>
        <charset val="128"/>
      </rPr>
      <t>父母等の祭日</t>
    </r>
    <rPh sb="0" eb="1">
      <t>ヤス</t>
    </rPh>
    <phoneticPr fontId="10"/>
  </si>
  <si>
    <r>
      <t>休　</t>
    </r>
    <r>
      <rPr>
        <sz val="16"/>
        <color rgb="FFFF0000"/>
        <rFont val="BIZ UDゴシック"/>
        <family val="3"/>
        <charset val="128"/>
      </rPr>
      <t>(子看休)</t>
    </r>
    <rPh sb="0" eb="1">
      <t>ヤス</t>
    </rPh>
    <rPh sb="4" eb="5">
      <t>カン</t>
    </rPh>
    <phoneticPr fontId="10"/>
  </si>
  <si>
    <r>
      <t xml:space="preserve">●*      </t>
    </r>
    <r>
      <rPr>
        <sz val="16"/>
        <color rgb="FFFF0000"/>
        <rFont val="BIZ UDゴシック"/>
        <family val="3"/>
        <charset val="128"/>
      </rPr>
      <t>日勤夜勤可</t>
    </r>
    <r>
      <rPr>
        <sz val="20"/>
        <color rgb="FFFF0000"/>
        <rFont val="BIZ UDゴシック"/>
        <family val="3"/>
        <charset val="128"/>
      </rPr>
      <t>　</t>
    </r>
    <phoneticPr fontId="10"/>
  </si>
  <si>
    <r>
      <t xml:space="preserve">●      </t>
    </r>
    <r>
      <rPr>
        <sz val="16"/>
        <color rgb="FFFF0000"/>
        <rFont val="BIZ UDゴシック"/>
        <family val="3"/>
        <charset val="128"/>
      </rPr>
      <t>日勤夜勤可</t>
    </r>
    <r>
      <rPr>
        <sz val="20"/>
        <color rgb="FFFF0000"/>
        <rFont val="BIZ UDゴシック"/>
        <family val="3"/>
        <charset val="128"/>
      </rPr>
      <t>　</t>
    </r>
    <phoneticPr fontId="10"/>
  </si>
  <si>
    <r>
      <t xml:space="preserve">〇       </t>
    </r>
    <r>
      <rPr>
        <sz val="16"/>
        <color rgb="FFFF0000"/>
        <rFont val="BIZ UDゴシック"/>
        <family val="3"/>
        <charset val="128"/>
      </rPr>
      <t>15:30会議</t>
    </r>
    <phoneticPr fontId="10"/>
  </si>
  <si>
    <r>
      <rPr>
        <sz val="20"/>
        <color rgb="FFFF0000"/>
        <rFont val="BIZ UDゴシック"/>
        <family val="3"/>
        <charset val="128"/>
      </rPr>
      <t xml:space="preserve">休 </t>
    </r>
    <r>
      <rPr>
        <sz val="20"/>
        <rFont val="BIZ UDゴシック"/>
        <family val="3"/>
        <charset val="128"/>
      </rPr>
      <t xml:space="preserve">    </t>
    </r>
    <r>
      <rPr>
        <sz val="16"/>
        <color rgb="FFFF0000"/>
        <rFont val="BIZ UDゴシック"/>
        <family val="3"/>
        <charset val="128"/>
      </rPr>
      <t>明け可</t>
    </r>
    <phoneticPr fontId="10"/>
  </si>
  <si>
    <r>
      <t xml:space="preserve">〇*      </t>
    </r>
    <r>
      <rPr>
        <sz val="16"/>
        <color rgb="FFFF0000"/>
        <rFont val="BIZ UDゴシック"/>
        <family val="3"/>
        <charset val="128"/>
      </rPr>
      <t>16:30会議</t>
    </r>
    <phoneticPr fontId="10"/>
  </si>
  <si>
    <r>
      <rPr>
        <sz val="20"/>
        <color rgb="FFFF0000"/>
        <rFont val="BIZ UDゴシック"/>
        <family val="3"/>
        <charset val="128"/>
      </rPr>
      <t>休</t>
    </r>
    <r>
      <rPr>
        <sz val="20"/>
        <rFont val="BIZ UDゴシック"/>
        <family val="3"/>
        <charset val="128"/>
      </rPr>
      <t xml:space="preserve">     </t>
    </r>
    <r>
      <rPr>
        <sz val="16"/>
        <color rgb="FFFF0000"/>
        <rFont val="BIZ UDゴシック"/>
        <family val="3"/>
        <charset val="128"/>
      </rPr>
      <t>明け可</t>
    </r>
    <phoneticPr fontId="10"/>
  </si>
  <si>
    <r>
      <rPr>
        <sz val="20"/>
        <color rgb="FFFF0000"/>
        <rFont val="BIZ UDゴシック"/>
        <family val="3"/>
        <charset val="128"/>
      </rPr>
      <t>▲</t>
    </r>
    <r>
      <rPr>
        <sz val="20"/>
        <rFont val="BIZ UDゴシック"/>
        <family val="3"/>
        <charset val="128"/>
      </rPr>
      <t>　　</t>
    </r>
    <r>
      <rPr>
        <sz val="16"/>
        <color rgb="FFFF0000"/>
        <rFont val="BIZ UDゴシック"/>
        <family val="3"/>
        <charset val="128"/>
      </rPr>
      <t>2次　　当直</t>
    </r>
    <phoneticPr fontId="10"/>
  </si>
  <si>
    <r>
      <t xml:space="preserve">明     </t>
    </r>
    <r>
      <rPr>
        <sz val="16"/>
        <color rgb="FFFF0000"/>
        <rFont val="BIZ UDゴシック"/>
        <family val="3"/>
        <charset val="128"/>
      </rPr>
      <t>夜勤×</t>
    </r>
    <phoneticPr fontId="10"/>
  </si>
  <si>
    <r>
      <t xml:space="preserve">〇     </t>
    </r>
    <r>
      <rPr>
        <sz val="16"/>
        <color rgb="FFFF0000"/>
        <rFont val="BIZ UDゴシック"/>
        <family val="3"/>
        <charset val="128"/>
      </rPr>
      <t>日勤可</t>
    </r>
    <phoneticPr fontId="10"/>
  </si>
  <si>
    <r>
      <t xml:space="preserve">休     </t>
    </r>
    <r>
      <rPr>
        <sz val="16"/>
        <color rgb="FFFF0000"/>
        <rFont val="BIZ UDゴシック"/>
        <family val="3"/>
        <charset val="128"/>
      </rPr>
      <t>明け可</t>
    </r>
    <phoneticPr fontId="10"/>
  </si>
  <si>
    <t>岡田・下手</t>
    <rPh sb="0" eb="2">
      <t>オカダ</t>
    </rPh>
    <rPh sb="3" eb="5">
      <t>ヘタ</t>
    </rPh>
    <phoneticPr fontId="7"/>
  </si>
  <si>
    <t>齋藤大・戸田</t>
    <rPh sb="4" eb="6">
      <t>トダ</t>
    </rPh>
    <phoneticPr fontId="7"/>
  </si>
  <si>
    <t>國澤・齋藤大</t>
    <phoneticPr fontId="7"/>
  </si>
  <si>
    <t>浅島・光島</t>
    <rPh sb="3" eb="4">
      <t>ヒカリ</t>
    </rPh>
    <rPh sb="4" eb="5">
      <t>シマ</t>
    </rPh>
    <phoneticPr fontId="7"/>
  </si>
  <si>
    <t>戸田・浅島</t>
    <rPh sb="3" eb="5">
      <t>アサジマ</t>
    </rPh>
    <phoneticPr fontId="7"/>
  </si>
  <si>
    <t>木村・菊地</t>
    <rPh sb="3" eb="5">
      <t>キクチ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</si>
</sst>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&quot;年&quot;m&quot;月&quot;;@"/>
    <numFmt numFmtId="177" formatCode="d"/>
    <numFmt numFmtId="178" formatCode="d;@"/>
    <numFmt numFmtId="179" formatCode="aaa"/>
    <numFmt numFmtId="180" formatCode="mm&quot;月&quot;dd&quot;日&quot;"/>
  </numFmts>
  <fonts count="43" x14ac:knownFonts="1">
    <font>
      <sz val="11"/>
      <color theme="1"/>
      <name val="ＭＳ ゴシック"/>
      <family val="2"/>
      <charset val="128"/>
    </font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6"/>
      <name val="游ゴシック"/>
      <family val="2"/>
      <charset val="128"/>
      <scheme val="minor"/>
    </font>
    <font>
      <sz val="11"/>
      <color theme="1"/>
      <name val="ＭＳ ゴシック"/>
      <family val="2"/>
      <charset val="128"/>
    </font>
    <font>
      <sz val="6"/>
      <name val="游ゴシック"/>
      <family val="3"/>
      <charset val="128"/>
      <scheme val="minor"/>
    </font>
    <font>
      <sz val="6"/>
      <name val="ＭＳ ゴシック"/>
      <family val="2"/>
      <charset val="128"/>
    </font>
    <font>
      <sz val="6"/>
      <name val="メイリオ"/>
      <family val="2"/>
      <charset val="128"/>
    </font>
    <font>
      <sz val="11"/>
      <color theme="1"/>
      <name val="游ゴシック"/>
      <family val="3"/>
      <charset val="128"/>
      <scheme val="minor"/>
    </font>
    <font>
      <sz val="6"/>
      <name val="ＭＳ Ｐゴシック"/>
      <family val="2"/>
      <charset val="128"/>
    </font>
    <font>
      <sz val="6"/>
      <name val="Calibri"/>
      <family val="3"/>
      <charset val="128"/>
    </font>
    <font>
      <sz val="11"/>
      <name val="ＭＳ Ｐゴシック"/>
      <family val="3"/>
      <charset val="128"/>
    </font>
    <font>
      <sz val="18"/>
      <name val="BIZ UDPゴシック"/>
      <family val="3"/>
      <charset val="1"/>
    </font>
    <font>
      <sz val="18"/>
      <color theme="1"/>
      <name val="BIZ UDPゴシック"/>
      <family val="3"/>
      <charset val="1"/>
    </font>
    <font>
      <sz val="6"/>
      <name val="ＭＳ Ｐゴシック"/>
      <family val="3"/>
      <charset val="128"/>
    </font>
    <font>
      <sz val="11"/>
      <color rgb="FF000000"/>
      <name val="Arial"/>
      <family val="2"/>
    </font>
    <font>
      <sz val="36"/>
      <color theme="1"/>
      <name val="BIZ UDゴシック"/>
      <family val="3"/>
      <charset val="128"/>
    </font>
    <font>
      <sz val="11"/>
      <color theme="1"/>
      <name val="BIZ UDゴシック"/>
      <family val="3"/>
      <charset val="128"/>
    </font>
    <font>
      <sz val="22"/>
      <color theme="1"/>
      <name val="BIZ UDゴシック"/>
      <family val="3"/>
      <charset val="128"/>
    </font>
    <font>
      <sz val="22"/>
      <name val="BIZ UDゴシック"/>
      <family val="3"/>
      <charset val="128"/>
    </font>
    <font>
      <sz val="16"/>
      <color theme="1"/>
      <name val="BIZ UDゴシック"/>
      <family val="3"/>
      <charset val="128"/>
    </font>
    <font>
      <sz val="18"/>
      <color theme="1"/>
      <name val="BIZ UDゴシック"/>
      <family val="3"/>
      <charset val="128"/>
    </font>
    <font>
      <sz val="14"/>
      <color theme="1"/>
      <name val="BIZ UDゴシック"/>
      <family val="3"/>
      <charset val="128"/>
    </font>
    <font>
      <sz val="16"/>
      <name val="BIZ UDゴシック"/>
      <family val="3"/>
      <charset val="128"/>
    </font>
    <font>
      <sz val="20"/>
      <name val="BIZ UDゴシック"/>
      <family val="3"/>
      <charset val="128"/>
    </font>
    <font>
      <sz val="10"/>
      <name val="BIZ UDゴシック"/>
      <family val="3"/>
      <charset val="128"/>
    </font>
    <font>
      <sz val="11"/>
      <name val="BIZ UDゴシック"/>
      <family val="3"/>
      <charset val="128"/>
    </font>
    <font>
      <sz val="17"/>
      <name val="BIZ UDゴシック"/>
      <family val="3"/>
      <charset val="128"/>
    </font>
    <font>
      <sz val="9"/>
      <name val="BIZ UDゴシック"/>
      <family val="3"/>
      <charset val="128"/>
    </font>
    <font>
      <sz val="18"/>
      <name val="BIZ UDゴシック"/>
      <family val="3"/>
      <charset val="128"/>
    </font>
    <font>
      <sz val="20"/>
      <color rgb="FF000000"/>
      <name val="BIZ UDゴシック"/>
      <family val="3"/>
      <charset val="128"/>
    </font>
    <font>
      <sz val="18"/>
      <color rgb="FF000000"/>
      <name val="BIZ UDゴシック"/>
      <family val="3"/>
      <charset val="128"/>
    </font>
    <font>
      <sz val="8"/>
      <name val="BIZ UDゴシック"/>
      <family val="3"/>
      <charset val="128"/>
    </font>
    <font>
      <sz val="11"/>
      <color rgb="FF000000"/>
      <name val="BIZ UDゴシック"/>
      <family val="3"/>
      <charset val="128"/>
    </font>
    <font>
      <sz val="14"/>
      <color rgb="FF000000"/>
      <name val="BIZ UDゴシック"/>
      <family val="3"/>
      <charset val="128"/>
    </font>
    <font>
      <sz val="20"/>
      <color rgb="FFFF0000"/>
      <name val="BIZ UDゴシック"/>
      <family val="3"/>
      <charset val="128"/>
    </font>
    <font>
      <sz val="14"/>
      <name val="BIZ UDゴシック"/>
      <family val="3"/>
      <charset val="128"/>
    </font>
    <font>
      <sz val="20"/>
      <color theme="1"/>
      <name val="BIZ UDゴシック"/>
      <family val="3"/>
      <charset val="128"/>
    </font>
    <font>
      <sz val="10"/>
      <color rgb="FFFF0000"/>
      <name val="BIZ UDゴシック"/>
      <family val="3"/>
      <charset val="128"/>
    </font>
    <font>
      <sz val="10"/>
      <color theme="1"/>
      <name val="BIZ UDゴシック"/>
      <family val="3"/>
      <charset val="128"/>
    </font>
    <font>
      <sz val="18"/>
      <color rgb="FFFF0000"/>
      <name val="BIZ UDゴシック"/>
      <family val="3"/>
      <charset val="128"/>
    </font>
    <font>
      <sz val="16"/>
      <color rgb="FFFF0000"/>
      <name val="BIZ UDゴシック"/>
      <family val="3"/>
      <charset val="128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CCC0D9"/>
        <bgColor rgb="FFCCC0D9"/>
      </patternFill>
    </fill>
    <fill>
      <patternFill patternType="solid">
        <fgColor rgb="FFFFFFFF"/>
        <bgColor rgb="FFFFFFFF"/>
      </patternFill>
    </fill>
    <fill>
      <patternFill patternType="solid">
        <fgColor rgb="FFD6E3BC"/>
        <bgColor rgb="FFD6E3BC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FFFFFF"/>
      </patternFill>
    </fill>
    <fill>
      <patternFill patternType="solid">
        <fgColor theme="2" tint="-9.9978637043366805E-2"/>
        <bgColor rgb="FFD6E3BC"/>
      </patternFill>
    </fill>
    <fill>
      <patternFill patternType="solid">
        <fgColor theme="2" tint="-9.9978637043366805E-2"/>
        <bgColor rgb="FFFFFF00"/>
      </patternFill>
    </fill>
    <fill>
      <patternFill patternType="solid">
        <fgColor rgb="FFBFBFBF"/>
        <bgColor rgb="FFD6E3B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FFFFFF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0" tint="-0.249977111117893"/>
        <bgColor rgb="FFD6E3BC"/>
      </patternFill>
    </fill>
    <fill>
      <patternFill patternType="solid">
        <fgColor rgb="FFCCCCCC"/>
        <bgColor rgb="FFCCCCCC"/>
      </patternFill>
    </fill>
    <fill>
      <patternFill patternType="solid">
        <fgColor rgb="FFD6E3BC"/>
        <bgColor rgb="FFFFFFFF"/>
      </patternFill>
    </fill>
    <fill>
      <patternFill patternType="solid">
        <fgColor rgb="FFD6E3BC"/>
        <bgColor indexed="64"/>
      </patternFill>
    </fill>
    <fill>
      <patternFill patternType="solid">
        <fgColor theme="5" tint="0.79998168889431442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5">
    <xf numFmtId="0" fontId="0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3" fillId="0" borderId="0"/>
    <xf numFmtId="0" fontId="9" fillId="0" borderId="0"/>
    <xf numFmtId="0" fontId="12" fillId="0" borderId="0"/>
  </cellStyleXfs>
  <cellXfs count="262">
    <xf numFmtId="0" fontId="0" fillId="0" borderId="0" xfId="0">
      <alignment vertical="center"/>
    </xf>
    <xf numFmtId="0" fontId="13" fillId="0" borderId="52" xfId="0" applyFont="1" applyBorder="1" applyAlignment="1">
      <alignment horizontal="center" vertical="center" shrinkToFit="1"/>
    </xf>
    <xf numFmtId="179" fontId="13" fillId="0" borderId="53" xfId="0" applyNumberFormat="1" applyFont="1" applyBorder="1" applyAlignment="1">
      <alignment horizontal="center" vertical="center" shrinkToFit="1"/>
    </xf>
    <xf numFmtId="0" fontId="13" fillId="0" borderId="54" xfId="0" applyFont="1" applyBorder="1" applyAlignment="1">
      <alignment horizontal="center" vertical="center" shrinkToFit="1"/>
    </xf>
    <xf numFmtId="180" fontId="13" fillId="0" borderId="52" xfId="0" applyNumberFormat="1" applyFont="1" applyBorder="1" applyAlignment="1">
      <alignment horizontal="center" vertical="center" shrinkToFit="1"/>
    </xf>
    <xf numFmtId="180" fontId="13" fillId="0" borderId="54" xfId="0" applyNumberFormat="1" applyFont="1" applyBorder="1" applyAlignment="1">
      <alignment horizontal="left" vertical="center" shrinkToFit="1"/>
    </xf>
    <xf numFmtId="0" fontId="13" fillId="0" borderId="19" xfId="0" applyFont="1" applyBorder="1" applyAlignment="1">
      <alignment horizontal="center" vertical="center" shrinkToFit="1"/>
    </xf>
    <xf numFmtId="0" fontId="13" fillId="0" borderId="55" xfId="0" applyFont="1" applyBorder="1" applyAlignment="1">
      <alignment horizontal="center" vertical="center" shrinkToFit="1"/>
    </xf>
    <xf numFmtId="180" fontId="13" fillId="0" borderId="54" xfId="0" applyNumberFormat="1" applyFont="1" applyBorder="1" applyAlignment="1">
      <alignment horizontal="center" vertical="center" shrinkToFit="1"/>
    </xf>
    <xf numFmtId="180" fontId="13" fillId="0" borderId="19" xfId="0" applyNumberFormat="1" applyFont="1" applyBorder="1" applyAlignment="1">
      <alignment horizontal="center" vertical="center" shrinkToFit="1"/>
    </xf>
    <xf numFmtId="0" fontId="14" fillId="0" borderId="19" xfId="0" applyFont="1" applyBorder="1" applyAlignment="1">
      <alignment horizontal="center" vertical="center" shrinkToFit="1"/>
    </xf>
    <xf numFmtId="0" fontId="13" fillId="0" borderId="19" xfId="0" applyFont="1" applyBorder="1" applyAlignment="1">
      <alignment horizontal="center" vertical="center" wrapText="1" shrinkToFit="1"/>
    </xf>
    <xf numFmtId="180" fontId="13" fillId="0" borderId="55" xfId="0" applyNumberFormat="1" applyFont="1" applyBorder="1" applyAlignment="1">
      <alignment vertical="center" shrinkToFit="1"/>
    </xf>
    <xf numFmtId="0" fontId="16" fillId="0" borderId="0" xfId="0" applyFont="1" applyAlignment="1">
      <alignment horizontal="justify" vertical="center"/>
    </xf>
    <xf numFmtId="0" fontId="18" fillId="0" borderId="0" xfId="0" applyFont="1">
      <alignment vertical="center"/>
    </xf>
    <xf numFmtId="177" fontId="20" fillId="0" borderId="3" xfId="2" applyNumberFormat="1" applyFont="1" applyBorder="1" applyAlignment="1">
      <alignment horizontal="center" vertical="center"/>
    </xf>
    <xf numFmtId="177" fontId="20" fillId="0" borderId="3" xfId="2" applyNumberFormat="1" applyFont="1" applyFill="1" applyBorder="1" applyAlignment="1">
      <alignment horizontal="center" vertical="center"/>
    </xf>
    <xf numFmtId="177" fontId="20" fillId="2" borderId="3" xfId="2" applyNumberFormat="1" applyFont="1" applyFill="1" applyBorder="1" applyAlignment="1">
      <alignment horizontal="center" vertical="center"/>
    </xf>
    <xf numFmtId="179" fontId="20" fillId="0" borderId="6" xfId="1" applyNumberFormat="1" applyFont="1" applyFill="1" applyBorder="1" applyAlignment="1">
      <alignment horizontal="center" vertical="center" shrinkToFit="1"/>
    </xf>
    <xf numFmtId="179" fontId="20" fillId="2" borderId="6" xfId="1" applyNumberFormat="1" applyFont="1" applyFill="1" applyBorder="1" applyAlignment="1">
      <alignment horizontal="center" vertical="center" shrinkToFit="1"/>
    </xf>
    <xf numFmtId="49" fontId="22" fillId="0" borderId="9" xfId="2" applyNumberFormat="1" applyFont="1" applyBorder="1" applyAlignment="1">
      <alignment horizontal="center" vertical="center" wrapText="1" shrinkToFit="1"/>
    </xf>
    <xf numFmtId="49" fontId="22" fillId="4" borderId="9" xfId="2" applyNumberFormat="1" applyFont="1" applyFill="1" applyBorder="1" applyAlignment="1">
      <alignment horizontal="center" vertical="center" wrapText="1" shrinkToFit="1"/>
    </xf>
    <xf numFmtId="49" fontId="22" fillId="5" borderId="9" xfId="2" applyNumberFormat="1" applyFont="1" applyFill="1" applyBorder="1" applyAlignment="1">
      <alignment horizontal="center" vertical="center" wrapText="1" shrinkToFit="1"/>
    </xf>
    <xf numFmtId="49" fontId="22" fillId="0" borderId="10" xfId="2" applyNumberFormat="1" applyFont="1" applyBorder="1" applyAlignment="1">
      <alignment horizontal="center" vertical="center" wrapText="1" shrinkToFit="1"/>
    </xf>
    <xf numFmtId="49" fontId="22" fillId="0" borderId="11" xfId="2" applyNumberFormat="1" applyFont="1" applyBorder="1" applyAlignment="1">
      <alignment horizontal="center" vertical="center" wrapText="1" shrinkToFit="1"/>
    </xf>
    <xf numFmtId="49" fontId="22" fillId="0" borderId="12" xfId="2" applyNumberFormat="1" applyFont="1" applyBorder="1" applyAlignment="1">
      <alignment horizontal="center" vertical="center" wrapText="1" shrinkToFit="1"/>
    </xf>
    <xf numFmtId="49" fontId="23" fillId="0" borderId="10" xfId="2" applyNumberFormat="1" applyFont="1" applyBorder="1" applyAlignment="1">
      <alignment horizontal="center" vertical="center" shrinkToFit="1"/>
    </xf>
    <xf numFmtId="49" fontId="23" fillId="0" borderId="15" xfId="2" applyNumberFormat="1" applyFont="1" applyBorder="1" applyAlignment="1">
      <alignment horizontal="center" vertical="center" wrapText="1" shrinkToFit="1"/>
    </xf>
    <xf numFmtId="49" fontId="23" fillId="0" borderId="6" xfId="2" applyNumberFormat="1" applyFont="1" applyBorder="1" applyAlignment="1">
      <alignment horizontal="center" vertical="center" wrapText="1" shrinkToFit="1"/>
    </xf>
    <xf numFmtId="49" fontId="22" fillId="0" borderId="16" xfId="2" applyNumberFormat="1" applyFont="1" applyBorder="1" applyAlignment="1">
      <alignment horizontal="centerContinuous" vertical="center" shrinkToFit="1"/>
    </xf>
    <xf numFmtId="49" fontId="22" fillId="0" borderId="17" xfId="2" applyNumberFormat="1" applyFont="1" applyBorder="1" applyAlignment="1">
      <alignment horizontal="centerContinuous" vertical="center" shrinkToFit="1"/>
    </xf>
    <xf numFmtId="0" fontId="24" fillId="0" borderId="18" xfId="3" applyFont="1" applyBorder="1" applyAlignment="1">
      <alignment horizontal="center" vertical="center" wrapText="1"/>
    </xf>
    <xf numFmtId="0" fontId="25" fillId="0" borderId="18" xfId="0" applyFont="1" applyBorder="1" applyAlignment="1">
      <alignment horizontal="center" vertical="center" wrapText="1"/>
    </xf>
    <xf numFmtId="0" fontId="25" fillId="0" borderId="18" xfId="3" applyFont="1" applyBorder="1" applyAlignment="1">
      <alignment horizontal="center" vertical="center" wrapText="1"/>
    </xf>
    <xf numFmtId="0" fontId="25" fillId="9" borderId="18" xfId="3" applyFont="1" applyFill="1" applyBorder="1" applyAlignment="1">
      <alignment horizontal="center" vertical="center" wrapText="1"/>
    </xf>
    <xf numFmtId="0" fontId="25" fillId="10" borderId="18" xfId="3" applyFont="1" applyFill="1" applyBorder="1" applyAlignment="1">
      <alignment horizontal="center" vertical="center" wrapText="1"/>
    </xf>
    <xf numFmtId="0" fontId="25" fillId="8" borderId="18" xfId="3" applyFont="1" applyFill="1" applyBorder="1" applyAlignment="1">
      <alignment horizontal="center" vertical="center" wrapText="1"/>
    </xf>
    <xf numFmtId="0" fontId="28" fillId="0" borderId="18" xfId="3" applyFont="1" applyBorder="1" applyAlignment="1">
      <alignment horizontal="center" vertical="center" wrapText="1"/>
    </xf>
    <xf numFmtId="0" fontId="31" fillId="10" borderId="18" xfId="3" applyFont="1" applyFill="1" applyBorder="1" applyAlignment="1">
      <alignment horizontal="center" vertical="center" wrapText="1"/>
    </xf>
    <xf numFmtId="0" fontId="31" fillId="9" borderId="18" xfId="3" applyFont="1" applyFill="1" applyBorder="1" applyAlignment="1">
      <alignment horizontal="center" vertical="center" wrapText="1"/>
    </xf>
    <xf numFmtId="0" fontId="31" fillId="8" borderId="18" xfId="3" applyFont="1" applyFill="1" applyBorder="1" applyAlignment="1">
      <alignment horizontal="center" vertical="center" wrapText="1"/>
    </xf>
    <xf numFmtId="49" fontId="22" fillId="0" borderId="20" xfId="2" applyNumberFormat="1" applyFont="1" applyBorder="1" applyAlignment="1">
      <alignment horizontal="centerContinuous" vertical="center" shrinkToFit="1"/>
    </xf>
    <xf numFmtId="49" fontId="22" fillId="0" borderId="21" xfId="2" applyNumberFormat="1" applyFont="1" applyBorder="1" applyAlignment="1">
      <alignment horizontal="centerContinuous" vertical="center" shrinkToFit="1"/>
    </xf>
    <xf numFmtId="0" fontId="31" fillId="0" borderId="18" xfId="3" applyFont="1" applyBorder="1" applyAlignment="1">
      <alignment horizontal="center" vertical="center" wrapText="1"/>
    </xf>
    <xf numFmtId="0" fontId="25" fillId="12" borderId="18" xfId="0" applyFont="1" applyFill="1" applyBorder="1" applyAlignment="1">
      <alignment horizontal="center" vertical="center" wrapText="1"/>
    </xf>
    <xf numFmtId="0" fontId="31" fillId="11" borderId="18" xfId="3" applyFont="1" applyFill="1" applyBorder="1" applyAlignment="1">
      <alignment horizontal="center" vertical="center" wrapText="1"/>
    </xf>
    <xf numFmtId="0" fontId="25" fillId="11" borderId="18" xfId="3" applyFont="1" applyFill="1" applyBorder="1" applyAlignment="1">
      <alignment horizontal="center" vertical="center" wrapText="1"/>
    </xf>
    <xf numFmtId="0" fontId="31" fillId="12" borderId="18" xfId="3" applyFont="1" applyFill="1" applyBorder="1" applyAlignment="1">
      <alignment horizontal="center" vertical="center" wrapText="1"/>
    </xf>
    <xf numFmtId="0" fontId="25" fillId="7" borderId="18" xfId="3" applyFont="1" applyFill="1" applyBorder="1" applyAlignment="1">
      <alignment horizontal="center" vertical="center" wrapText="1"/>
    </xf>
    <xf numFmtId="0" fontId="31" fillId="7" borderId="18" xfId="3" applyFont="1" applyFill="1" applyBorder="1" applyAlignment="1">
      <alignment horizontal="center" vertical="center" wrapText="1"/>
    </xf>
    <xf numFmtId="0" fontId="34" fillId="0" borderId="18" xfId="3" applyFont="1" applyBorder="1" applyAlignment="1">
      <alignment vertical="center"/>
    </xf>
    <xf numFmtId="0" fontId="34" fillId="0" borderId="18" xfId="3" applyFont="1" applyBorder="1"/>
    <xf numFmtId="0" fontId="21" fillId="0" borderId="24" xfId="0" applyFont="1" applyBorder="1" applyAlignment="1">
      <alignment horizontal="center" vertical="center" shrinkToFit="1"/>
    </xf>
    <xf numFmtId="0" fontId="21" fillId="2" borderId="24" xfId="0" applyFont="1" applyFill="1" applyBorder="1" applyAlignment="1">
      <alignment horizontal="center" vertical="center" shrinkToFit="1"/>
    </xf>
    <xf numFmtId="0" fontId="21" fillId="0" borderId="24" xfId="0" applyFont="1" applyFill="1" applyBorder="1" applyAlignment="1">
      <alignment horizontal="center" vertical="center" shrinkToFit="1"/>
    </xf>
    <xf numFmtId="0" fontId="21" fillId="0" borderId="12" xfId="0" applyFont="1" applyBorder="1" applyAlignment="1">
      <alignment horizontal="center" vertical="center" shrinkToFit="1"/>
    </xf>
    <xf numFmtId="0" fontId="21" fillId="2" borderId="12" xfId="0" applyFont="1" applyFill="1" applyBorder="1" applyAlignment="1">
      <alignment horizontal="center" vertical="center" shrinkToFit="1"/>
    </xf>
    <xf numFmtId="0" fontId="21" fillId="0" borderId="12" xfId="0" applyFont="1" applyFill="1" applyBorder="1" applyAlignment="1">
      <alignment horizontal="center" vertical="center" shrinkToFit="1"/>
    </xf>
    <xf numFmtId="0" fontId="21" fillId="0" borderId="31" xfId="0" applyFont="1" applyBorder="1" applyAlignment="1">
      <alignment horizontal="center" vertical="center" shrinkToFit="1"/>
    </xf>
    <xf numFmtId="0" fontId="21" fillId="0" borderId="35" xfId="0" applyFont="1" applyBorder="1" applyAlignment="1">
      <alignment horizontal="center" vertical="center" shrinkToFit="1"/>
    </xf>
    <xf numFmtId="0" fontId="21" fillId="0" borderId="10" xfId="0" applyFont="1" applyBorder="1" applyAlignment="1">
      <alignment horizontal="center" vertical="center" shrinkToFit="1"/>
    </xf>
    <xf numFmtId="0" fontId="21" fillId="2" borderId="10" xfId="0" applyFont="1" applyFill="1" applyBorder="1" applyAlignment="1">
      <alignment horizontal="center" vertical="center" shrinkToFit="1"/>
    </xf>
    <xf numFmtId="0" fontId="21" fillId="0" borderId="10" xfId="0" applyFont="1" applyFill="1" applyBorder="1" applyAlignment="1">
      <alignment horizontal="center" vertical="center" shrinkToFit="1"/>
    </xf>
    <xf numFmtId="0" fontId="21" fillId="0" borderId="37" xfId="0" applyFont="1" applyFill="1" applyBorder="1" applyAlignment="1">
      <alignment horizontal="center" vertical="center" shrinkToFit="1"/>
    </xf>
    <xf numFmtId="0" fontId="21" fillId="2" borderId="31" xfId="0" applyFont="1" applyFill="1" applyBorder="1" applyAlignment="1">
      <alignment horizontal="center" vertical="center" shrinkToFit="1"/>
    </xf>
    <xf numFmtId="0" fontId="21" fillId="2" borderId="39" xfId="0" applyFont="1" applyFill="1" applyBorder="1" applyAlignment="1">
      <alignment horizontal="center" vertical="center" shrinkToFit="1"/>
    </xf>
    <xf numFmtId="0" fontId="21" fillId="0" borderId="40" xfId="0" applyFont="1" applyBorder="1" applyAlignment="1">
      <alignment horizontal="center" vertical="center" shrinkToFit="1"/>
    </xf>
    <xf numFmtId="0" fontId="21" fillId="2" borderId="40" xfId="0" applyFont="1" applyFill="1" applyBorder="1" applyAlignment="1">
      <alignment horizontal="center" vertical="center" shrinkToFit="1"/>
    </xf>
    <xf numFmtId="0" fontId="21" fillId="2" borderId="5" xfId="0" applyFont="1" applyFill="1" applyBorder="1" applyAlignment="1">
      <alignment horizontal="center" vertical="center" shrinkToFit="1"/>
    </xf>
    <xf numFmtId="0" fontId="21" fillId="0" borderId="0" xfId="0" applyFont="1" applyAlignment="1">
      <alignment horizontal="center" vertical="center" shrinkToFit="1"/>
    </xf>
    <xf numFmtId="0" fontId="21" fillId="0" borderId="41" xfId="0" applyFont="1" applyBorder="1" applyAlignment="1">
      <alignment horizontal="center" vertical="center" shrinkToFit="1"/>
    </xf>
    <xf numFmtId="0" fontId="21" fillId="0" borderId="37" xfId="0" applyFont="1" applyBorder="1" applyAlignment="1">
      <alignment horizontal="center" vertical="center" shrinkToFit="1"/>
    </xf>
    <xf numFmtId="0" fontId="21" fillId="0" borderId="42" xfId="0" applyFont="1" applyBorder="1" applyAlignment="1">
      <alignment horizontal="center" vertical="center" shrinkToFit="1"/>
    </xf>
    <xf numFmtId="0" fontId="21" fillId="0" borderId="4" xfId="0" applyFont="1" applyBorder="1" applyAlignment="1">
      <alignment horizontal="center" vertical="center" shrinkToFit="1"/>
    </xf>
    <xf numFmtId="0" fontId="21" fillId="0" borderId="43" xfId="0" applyFont="1" applyBorder="1" applyAlignment="1">
      <alignment horizontal="center" vertical="center" shrinkToFit="1"/>
    </xf>
    <xf numFmtId="0" fontId="18" fillId="2" borderId="12" xfId="0" applyFont="1" applyFill="1" applyBorder="1" applyAlignment="1">
      <alignment vertical="center" shrinkToFit="1"/>
    </xf>
    <xf numFmtId="0" fontId="21" fillId="0" borderId="44" xfId="2" applyFont="1" applyBorder="1" applyAlignment="1">
      <alignment horizontal="center" vertical="center" shrinkToFit="1"/>
    </xf>
    <xf numFmtId="49" fontId="21" fillId="0" borderId="44" xfId="2" applyNumberFormat="1" applyFont="1" applyBorder="1" applyAlignment="1">
      <alignment horizontal="center" vertical="center" shrinkToFit="1"/>
    </xf>
    <xf numFmtId="0" fontId="21" fillId="0" borderId="40" xfId="2" applyFont="1" applyBorder="1" applyAlignment="1">
      <alignment horizontal="center" vertical="center" shrinkToFit="1"/>
    </xf>
    <xf numFmtId="49" fontId="21" fillId="0" borderId="40" xfId="2" applyNumberFormat="1" applyFont="1" applyBorder="1" applyAlignment="1">
      <alignment horizontal="center" vertical="center" shrinkToFit="1"/>
    </xf>
    <xf numFmtId="0" fontId="21" fillId="0" borderId="35" xfId="2" applyFont="1" applyBorder="1" applyAlignment="1">
      <alignment horizontal="center" vertical="center" shrinkToFit="1"/>
    </xf>
    <xf numFmtId="0" fontId="21" fillId="0" borderId="45" xfId="2" applyFont="1" applyBorder="1" applyAlignment="1">
      <alignment horizontal="center" vertical="center" shrinkToFit="1"/>
    </xf>
    <xf numFmtId="0" fontId="31" fillId="0" borderId="18" xfId="3" applyFont="1" applyBorder="1" applyAlignment="1">
      <alignment horizontal="center" vertical="top" wrapText="1"/>
    </xf>
    <xf numFmtId="177" fontId="20" fillId="13" borderId="3" xfId="2" applyNumberFormat="1" applyFont="1" applyFill="1" applyBorder="1" applyAlignment="1">
      <alignment horizontal="center" vertical="center"/>
    </xf>
    <xf numFmtId="179" fontId="20" fillId="13" borderId="6" xfId="1" applyNumberFormat="1" applyFont="1" applyFill="1" applyBorder="1" applyAlignment="1">
      <alignment horizontal="center" vertical="center" shrinkToFit="1"/>
    </xf>
    <xf numFmtId="49" fontId="22" fillId="13" borderId="9" xfId="2" applyNumberFormat="1" applyFont="1" applyFill="1" applyBorder="1" applyAlignment="1">
      <alignment horizontal="center" vertical="center" wrapText="1" shrinkToFit="1"/>
    </xf>
    <xf numFmtId="49" fontId="23" fillId="13" borderId="10" xfId="2" applyNumberFormat="1" applyFont="1" applyFill="1" applyBorder="1" applyAlignment="1">
      <alignment horizontal="center" vertical="center" shrinkToFit="1"/>
    </xf>
    <xf numFmtId="49" fontId="23" fillId="13" borderId="6" xfId="2" applyNumberFormat="1" applyFont="1" applyFill="1" applyBorder="1" applyAlignment="1">
      <alignment horizontal="center" vertical="center" wrapText="1" shrinkToFit="1"/>
    </xf>
    <xf numFmtId="0" fontId="31" fillId="14" borderId="18" xfId="3" applyFont="1" applyFill="1" applyBorder="1" applyAlignment="1">
      <alignment horizontal="center" vertical="center" wrapText="1"/>
    </xf>
    <xf numFmtId="0" fontId="25" fillId="15" borderId="18" xfId="3" applyFont="1" applyFill="1" applyBorder="1" applyAlignment="1">
      <alignment horizontal="center" vertical="center" wrapText="1"/>
    </xf>
    <xf numFmtId="0" fontId="25" fillId="13" borderId="18" xfId="0" applyFont="1" applyFill="1" applyBorder="1" applyAlignment="1">
      <alignment horizontal="center" vertical="center" wrapText="1"/>
    </xf>
    <xf numFmtId="0" fontId="31" fillId="15" borderId="18" xfId="3" applyFont="1" applyFill="1" applyBorder="1" applyAlignment="1">
      <alignment horizontal="center" vertical="center" wrapText="1"/>
    </xf>
    <xf numFmtId="0" fontId="31" fillId="13" borderId="18" xfId="3" applyFont="1" applyFill="1" applyBorder="1" applyAlignment="1">
      <alignment horizontal="center" vertical="center" wrapText="1"/>
    </xf>
    <xf numFmtId="0" fontId="31" fillId="16" borderId="18" xfId="3" applyFont="1" applyFill="1" applyBorder="1" applyAlignment="1">
      <alignment horizontal="center" vertical="center" wrapText="1"/>
    </xf>
    <xf numFmtId="0" fontId="34" fillId="13" borderId="18" xfId="3" applyFont="1" applyFill="1" applyBorder="1" applyAlignment="1">
      <alignment vertical="center"/>
    </xf>
    <xf numFmtId="0" fontId="21" fillId="13" borderId="24" xfId="0" applyFont="1" applyFill="1" applyBorder="1" applyAlignment="1">
      <alignment horizontal="center" vertical="center" shrinkToFit="1"/>
    </xf>
    <xf numFmtId="0" fontId="21" fillId="13" borderId="12" xfId="0" applyFont="1" applyFill="1" applyBorder="1" applyAlignment="1">
      <alignment horizontal="center" vertical="center" shrinkToFit="1"/>
    </xf>
    <xf numFmtId="0" fontId="21" fillId="13" borderId="31" xfId="0" applyFont="1" applyFill="1" applyBorder="1" applyAlignment="1">
      <alignment horizontal="center" vertical="center" shrinkToFit="1"/>
    </xf>
    <xf numFmtId="0" fontId="21" fillId="13" borderId="35" xfId="0" applyFont="1" applyFill="1" applyBorder="1" applyAlignment="1">
      <alignment horizontal="center" vertical="center" shrinkToFit="1"/>
    </xf>
    <xf numFmtId="0" fontId="21" fillId="13" borderId="10" xfId="0" applyFont="1" applyFill="1" applyBorder="1" applyAlignment="1">
      <alignment horizontal="center" vertical="center" shrinkToFit="1"/>
    </xf>
    <xf numFmtId="0" fontId="21" fillId="13" borderId="39" xfId="0" applyFont="1" applyFill="1" applyBorder="1" applyAlignment="1">
      <alignment horizontal="center" vertical="center" shrinkToFit="1"/>
    </xf>
    <xf numFmtId="0" fontId="21" fillId="13" borderId="5" xfId="0" applyFont="1" applyFill="1" applyBorder="1" applyAlignment="1">
      <alignment horizontal="center" vertical="center" shrinkToFit="1"/>
    </xf>
    <xf numFmtId="0" fontId="21" fillId="13" borderId="42" xfId="0" applyFont="1" applyFill="1" applyBorder="1" applyAlignment="1">
      <alignment horizontal="center" vertical="center" shrinkToFit="1"/>
    </xf>
    <xf numFmtId="0" fontId="21" fillId="13" borderId="0" xfId="0" applyFont="1" applyFill="1" applyAlignment="1">
      <alignment horizontal="center" vertical="center" shrinkToFit="1"/>
    </xf>
    <xf numFmtId="0" fontId="21" fillId="13" borderId="43" xfId="0" applyFont="1" applyFill="1" applyBorder="1" applyAlignment="1">
      <alignment horizontal="center" vertical="center" shrinkToFit="1"/>
    </xf>
    <xf numFmtId="0" fontId="21" fillId="13" borderId="44" xfId="2" applyFont="1" applyFill="1" applyBorder="1" applyAlignment="1">
      <alignment horizontal="center" vertical="center" shrinkToFit="1"/>
    </xf>
    <xf numFmtId="49" fontId="21" fillId="13" borderId="40" xfId="2" applyNumberFormat="1" applyFont="1" applyFill="1" applyBorder="1" applyAlignment="1">
      <alignment horizontal="center" vertical="center" shrinkToFit="1"/>
    </xf>
    <xf numFmtId="0" fontId="25" fillId="0" borderId="18" xfId="3" applyFont="1" applyFill="1" applyBorder="1" applyAlignment="1">
      <alignment horizontal="center" vertical="center" wrapText="1"/>
    </xf>
    <xf numFmtId="0" fontId="30" fillId="8" borderId="18" xfId="3" applyFont="1" applyFill="1" applyBorder="1" applyAlignment="1">
      <alignment horizontal="center" vertical="center" wrapText="1"/>
    </xf>
    <xf numFmtId="0" fontId="21" fillId="0" borderId="31" xfId="0" applyFont="1" applyFill="1" applyBorder="1" applyAlignment="1">
      <alignment horizontal="center" vertical="center" shrinkToFit="1"/>
    </xf>
    <xf numFmtId="0" fontId="21" fillId="0" borderId="35" xfId="0" applyFont="1" applyFill="1" applyBorder="1" applyAlignment="1">
      <alignment horizontal="center" vertical="center" shrinkToFit="1"/>
    </xf>
    <xf numFmtId="0" fontId="21" fillId="0" borderId="40" xfId="0" applyFont="1" applyFill="1" applyBorder="1" applyAlignment="1">
      <alignment horizontal="center" vertical="center" shrinkToFit="1"/>
    </xf>
    <xf numFmtId="0" fontId="18" fillId="0" borderId="12" xfId="0" applyFont="1" applyFill="1" applyBorder="1" applyAlignment="1">
      <alignment vertical="center" shrinkToFit="1"/>
    </xf>
    <xf numFmtId="0" fontId="21" fillId="0" borderId="44" xfId="2" applyFont="1" applyFill="1" applyBorder="1" applyAlignment="1">
      <alignment horizontal="center" vertical="center" shrinkToFit="1"/>
    </xf>
    <xf numFmtId="49" fontId="21" fillId="0" borderId="44" xfId="2" applyNumberFormat="1" applyFont="1" applyFill="1" applyBorder="1" applyAlignment="1">
      <alignment horizontal="center" vertical="center" shrinkToFit="1"/>
    </xf>
    <xf numFmtId="0" fontId="25" fillId="0" borderId="18" xfId="2" applyFont="1" applyBorder="1" applyAlignment="1">
      <alignment horizontal="center" vertical="center" wrapText="1"/>
    </xf>
    <xf numFmtId="0" fontId="25" fillId="8" borderId="18" xfId="2" applyFont="1" applyFill="1" applyBorder="1" applyAlignment="1">
      <alignment horizontal="center" vertical="center" wrapText="1"/>
    </xf>
    <xf numFmtId="0" fontId="25" fillId="9" borderId="18" xfId="2" applyFont="1" applyFill="1" applyBorder="1" applyAlignment="1">
      <alignment horizontal="center" vertical="center" wrapText="1"/>
    </xf>
    <xf numFmtId="0" fontId="25" fillId="10" borderId="18" xfId="2" applyFont="1" applyFill="1" applyBorder="1" applyAlignment="1">
      <alignment horizontal="center" vertical="center" wrapText="1"/>
    </xf>
    <xf numFmtId="0" fontId="31" fillId="9" borderId="18" xfId="2" applyFont="1" applyFill="1" applyBorder="1" applyAlignment="1">
      <alignment horizontal="center" vertical="center" wrapText="1"/>
    </xf>
    <xf numFmtId="0" fontId="31" fillId="0" borderId="18" xfId="2" applyFont="1" applyBorder="1" applyAlignment="1">
      <alignment horizontal="center" vertical="center" wrapText="1"/>
    </xf>
    <xf numFmtId="0" fontId="31" fillId="0" borderId="56" xfId="2" applyFont="1" applyBorder="1" applyAlignment="1">
      <alignment horizontal="center" vertical="center" wrapText="1"/>
    </xf>
    <xf numFmtId="0" fontId="31" fillId="8" borderId="19" xfId="2" applyFont="1" applyFill="1" applyBorder="1" applyAlignment="1">
      <alignment horizontal="center" vertical="center" wrapText="1"/>
    </xf>
    <xf numFmtId="0" fontId="31" fillId="10" borderId="18" xfId="2" applyFont="1" applyFill="1" applyBorder="1" applyAlignment="1">
      <alignment horizontal="center" vertical="center" wrapText="1"/>
    </xf>
    <xf numFmtId="0" fontId="31" fillId="8" borderId="18" xfId="2" applyFont="1" applyFill="1" applyBorder="1" applyAlignment="1">
      <alignment horizontal="center" vertical="center" wrapText="1"/>
    </xf>
    <xf numFmtId="0" fontId="31" fillId="10" borderId="56" xfId="2" applyFont="1" applyFill="1" applyBorder="1" applyAlignment="1">
      <alignment horizontal="center" vertical="center" wrapText="1"/>
    </xf>
    <xf numFmtId="0" fontId="25" fillId="7" borderId="18" xfId="2" applyFont="1" applyFill="1" applyBorder="1" applyAlignment="1">
      <alignment horizontal="center" vertical="center" wrapText="1"/>
    </xf>
    <xf numFmtId="0" fontId="31" fillId="0" borderId="19" xfId="2" applyFont="1" applyBorder="1" applyAlignment="1">
      <alignment horizontal="center" vertical="center" wrapText="1"/>
    </xf>
    <xf numFmtId="0" fontId="25" fillId="17" borderId="18" xfId="3" applyFont="1" applyFill="1" applyBorder="1" applyAlignment="1">
      <alignment horizontal="center" vertical="center" wrapText="1"/>
    </xf>
    <xf numFmtId="0" fontId="25" fillId="8" borderId="56" xfId="2" applyFont="1" applyFill="1" applyBorder="1" applyAlignment="1">
      <alignment horizontal="center" vertical="center" wrapText="1"/>
    </xf>
    <xf numFmtId="0" fontId="25" fillId="9" borderId="19" xfId="2" applyFont="1" applyFill="1" applyBorder="1" applyAlignment="1">
      <alignment horizontal="center" vertical="center" wrapText="1"/>
    </xf>
    <xf numFmtId="0" fontId="31" fillId="9" borderId="56" xfId="2" applyFont="1" applyFill="1" applyBorder="1" applyAlignment="1">
      <alignment horizontal="center" vertical="center" wrapText="1"/>
    </xf>
    <xf numFmtId="0" fontId="25" fillId="9" borderId="56" xfId="2" applyFont="1" applyFill="1" applyBorder="1" applyAlignment="1">
      <alignment horizontal="center" vertical="center" wrapText="1"/>
    </xf>
    <xf numFmtId="0" fontId="36" fillId="0" borderId="18" xfId="2" applyFont="1" applyBorder="1" applyAlignment="1">
      <alignment horizontal="center" vertical="center" wrapText="1"/>
    </xf>
    <xf numFmtId="0" fontId="31" fillId="7" borderId="18" xfId="2" applyFont="1" applyFill="1" applyBorder="1" applyAlignment="1">
      <alignment horizontal="center" vertical="center" wrapText="1"/>
    </xf>
    <xf numFmtId="0" fontId="31" fillId="0" borderId="18" xfId="2" applyFont="1" applyBorder="1" applyAlignment="1">
      <alignment vertical="center"/>
    </xf>
    <xf numFmtId="0" fontId="31" fillId="0" borderId="18" xfId="2" applyFont="1" applyBorder="1"/>
    <xf numFmtId="0" fontId="31" fillId="0" borderId="56" xfId="2" applyFont="1" applyBorder="1"/>
    <xf numFmtId="0" fontId="31" fillId="0" borderId="19" xfId="2" applyFont="1" applyBorder="1" applyAlignment="1">
      <alignment vertical="center"/>
    </xf>
    <xf numFmtId="49" fontId="22" fillId="0" borderId="9" xfId="2" applyNumberFormat="1" applyFont="1" applyFill="1" applyBorder="1" applyAlignment="1">
      <alignment horizontal="center" vertical="center" wrapText="1" shrinkToFit="1"/>
    </xf>
    <xf numFmtId="49" fontId="23" fillId="0" borderId="10" xfId="2" applyNumberFormat="1" applyFont="1" applyFill="1" applyBorder="1" applyAlignment="1">
      <alignment horizontal="center" vertical="center" shrinkToFit="1"/>
    </xf>
    <xf numFmtId="49" fontId="23" fillId="0" borderId="6" xfId="2" applyNumberFormat="1" applyFont="1" applyFill="1" applyBorder="1" applyAlignment="1">
      <alignment horizontal="center" vertical="center" wrapText="1" shrinkToFit="1"/>
    </xf>
    <xf numFmtId="0" fontId="21" fillId="0" borderId="39" xfId="0" applyFont="1" applyFill="1" applyBorder="1" applyAlignment="1">
      <alignment horizontal="center" vertical="center" shrinkToFit="1"/>
    </xf>
    <xf numFmtId="0" fontId="21" fillId="0" borderId="5" xfId="0" applyFont="1" applyFill="1" applyBorder="1" applyAlignment="1">
      <alignment horizontal="center" vertical="center" shrinkToFit="1"/>
    </xf>
    <xf numFmtId="0" fontId="21" fillId="0" borderId="42" xfId="0" applyFont="1" applyFill="1" applyBorder="1" applyAlignment="1">
      <alignment horizontal="center" vertical="center" shrinkToFit="1"/>
    </xf>
    <xf numFmtId="0" fontId="21" fillId="0" borderId="0" xfId="0" applyFont="1" applyFill="1" applyAlignment="1">
      <alignment horizontal="center" vertical="center" shrinkToFit="1"/>
    </xf>
    <xf numFmtId="0" fontId="21" fillId="0" borderId="43" xfId="0" applyFont="1" applyFill="1" applyBorder="1" applyAlignment="1">
      <alignment horizontal="center" vertical="center" shrinkToFit="1"/>
    </xf>
    <xf numFmtId="49" fontId="21" fillId="0" borderId="40" xfId="2" applyNumberFormat="1" applyFont="1" applyFill="1" applyBorder="1" applyAlignment="1">
      <alignment horizontal="center" vertical="center" shrinkToFit="1"/>
    </xf>
    <xf numFmtId="0" fontId="24" fillId="0" borderId="18" xfId="2" applyFont="1" applyBorder="1" applyAlignment="1">
      <alignment horizontal="center" vertical="center" wrapText="1"/>
    </xf>
    <xf numFmtId="0" fontId="25" fillId="17" borderId="18" xfId="2" applyFont="1" applyFill="1" applyBorder="1" applyAlignment="1">
      <alignment horizontal="center" vertical="center" wrapText="1"/>
    </xf>
    <xf numFmtId="0" fontId="34" fillId="0" borderId="18" xfId="2" applyFont="1" applyBorder="1" applyAlignment="1">
      <alignment vertical="center"/>
    </xf>
    <xf numFmtId="0" fontId="34" fillId="0" borderId="18" xfId="2" applyFont="1" applyBorder="1"/>
    <xf numFmtId="0" fontId="25" fillId="12" borderId="18" xfId="2" applyFont="1" applyFill="1" applyBorder="1" applyAlignment="1">
      <alignment horizontal="center" vertical="center" wrapText="1"/>
    </xf>
    <xf numFmtId="0" fontId="25" fillId="0" borderId="18" xfId="2" applyFont="1" applyBorder="1" applyAlignment="1">
      <alignment vertical="center"/>
    </xf>
    <xf numFmtId="0" fontId="25" fillId="0" borderId="18" xfId="2" applyFont="1" applyBorder="1"/>
    <xf numFmtId="0" fontId="30" fillId="0" borderId="18" xfId="3" applyFont="1" applyFill="1" applyBorder="1" applyAlignment="1">
      <alignment horizontal="center" vertical="center" wrapText="1"/>
    </xf>
    <xf numFmtId="177" fontId="20" fillId="18" borderId="3" xfId="2" applyNumberFormat="1" applyFont="1" applyFill="1" applyBorder="1" applyAlignment="1">
      <alignment horizontal="center" vertical="center"/>
    </xf>
    <xf numFmtId="179" fontId="20" fillId="18" borderId="6" xfId="1" applyNumberFormat="1" applyFont="1" applyFill="1" applyBorder="1" applyAlignment="1">
      <alignment horizontal="center" vertical="center" shrinkToFit="1"/>
    </xf>
    <xf numFmtId="49" fontId="22" fillId="18" borderId="9" xfId="2" applyNumberFormat="1" applyFont="1" applyFill="1" applyBorder="1" applyAlignment="1">
      <alignment horizontal="center" vertical="center" wrapText="1" shrinkToFit="1"/>
    </xf>
    <xf numFmtId="49" fontId="23" fillId="18" borderId="10" xfId="2" applyNumberFormat="1" applyFont="1" applyFill="1" applyBorder="1" applyAlignment="1">
      <alignment horizontal="center" vertical="center" shrinkToFit="1"/>
    </xf>
    <xf numFmtId="49" fontId="23" fillId="18" borderId="6" xfId="2" applyNumberFormat="1" applyFont="1" applyFill="1" applyBorder="1" applyAlignment="1">
      <alignment horizontal="center" vertical="center" wrapText="1" shrinkToFit="1"/>
    </xf>
    <xf numFmtId="0" fontId="25" fillId="18" borderId="18" xfId="2" applyFont="1" applyFill="1" applyBorder="1" applyAlignment="1">
      <alignment horizontal="center" vertical="center" wrapText="1"/>
    </xf>
    <xf numFmtId="0" fontId="25" fillId="19" borderId="18" xfId="2" applyFont="1" applyFill="1" applyBorder="1" applyAlignment="1">
      <alignment horizontal="center" vertical="center" wrapText="1"/>
    </xf>
    <xf numFmtId="0" fontId="25" fillId="20" borderId="18" xfId="2" applyFont="1" applyFill="1" applyBorder="1" applyAlignment="1">
      <alignment horizontal="center" vertical="center" wrapText="1"/>
    </xf>
    <xf numFmtId="0" fontId="25" fillId="21" borderId="18" xfId="2" applyFont="1" applyFill="1" applyBorder="1" applyAlignment="1">
      <alignment horizontal="center" vertical="center" wrapText="1"/>
    </xf>
    <xf numFmtId="0" fontId="25" fillId="18" borderId="18" xfId="2" applyFont="1" applyFill="1" applyBorder="1" applyAlignment="1">
      <alignment vertical="center"/>
    </xf>
    <xf numFmtId="0" fontId="30" fillId="18" borderId="18" xfId="3" applyFont="1" applyFill="1" applyBorder="1" applyAlignment="1">
      <alignment horizontal="center" vertical="center" wrapText="1"/>
    </xf>
    <xf numFmtId="0" fontId="21" fillId="18" borderId="24" xfId="0" applyFont="1" applyFill="1" applyBorder="1" applyAlignment="1">
      <alignment horizontal="center" vertical="center" shrinkToFit="1"/>
    </xf>
    <xf numFmtId="0" fontId="21" fillId="18" borderId="12" xfId="0" applyFont="1" applyFill="1" applyBorder="1" applyAlignment="1">
      <alignment horizontal="center" vertical="center" shrinkToFit="1"/>
    </xf>
    <xf numFmtId="0" fontId="21" fillId="18" borderId="31" xfId="0" applyFont="1" applyFill="1" applyBorder="1" applyAlignment="1">
      <alignment horizontal="center" vertical="center" shrinkToFit="1"/>
    </xf>
    <xf numFmtId="0" fontId="21" fillId="18" borderId="35" xfId="0" applyFont="1" applyFill="1" applyBorder="1" applyAlignment="1">
      <alignment horizontal="center" vertical="center" shrinkToFit="1"/>
    </xf>
    <xf numFmtId="0" fontId="21" fillId="18" borderId="10" xfId="0" applyFont="1" applyFill="1" applyBorder="1" applyAlignment="1">
      <alignment horizontal="center" vertical="center" shrinkToFit="1"/>
    </xf>
    <xf numFmtId="0" fontId="21" fillId="18" borderId="39" xfId="0" applyFont="1" applyFill="1" applyBorder="1" applyAlignment="1">
      <alignment horizontal="center" vertical="center" shrinkToFit="1"/>
    </xf>
    <xf numFmtId="0" fontId="21" fillId="18" borderId="5" xfId="0" applyFont="1" applyFill="1" applyBorder="1" applyAlignment="1">
      <alignment horizontal="center" vertical="center" shrinkToFit="1"/>
    </xf>
    <xf numFmtId="0" fontId="21" fillId="18" borderId="42" xfId="0" applyFont="1" applyFill="1" applyBorder="1" applyAlignment="1">
      <alignment horizontal="center" vertical="center" shrinkToFit="1"/>
    </xf>
    <xf numFmtId="0" fontId="21" fillId="18" borderId="0" xfId="0" applyFont="1" applyFill="1" applyAlignment="1">
      <alignment horizontal="center" vertical="center" shrinkToFit="1"/>
    </xf>
    <xf numFmtId="0" fontId="21" fillId="18" borderId="43" xfId="0" applyFont="1" applyFill="1" applyBorder="1" applyAlignment="1">
      <alignment horizontal="center" vertical="center" shrinkToFit="1"/>
    </xf>
    <xf numFmtId="0" fontId="21" fillId="18" borderId="44" xfId="2" applyFont="1" applyFill="1" applyBorder="1" applyAlignment="1">
      <alignment horizontal="center" vertical="center" shrinkToFit="1"/>
    </xf>
    <xf numFmtId="49" fontId="21" fillId="18" borderId="40" xfId="2" applyNumberFormat="1" applyFont="1" applyFill="1" applyBorder="1" applyAlignment="1">
      <alignment horizontal="center" vertical="center" shrinkToFit="1"/>
    </xf>
    <xf numFmtId="0" fontId="25" fillId="22" borderId="18" xfId="2" applyFont="1" applyFill="1" applyBorder="1" applyAlignment="1">
      <alignment horizontal="center" vertical="center" wrapText="1"/>
    </xf>
    <xf numFmtId="0" fontId="31" fillId="22" borderId="18" xfId="2" applyFont="1" applyFill="1" applyBorder="1" applyAlignment="1">
      <alignment horizontal="center" vertical="center" wrapText="1"/>
    </xf>
    <xf numFmtId="0" fontId="31" fillId="12" borderId="18" xfId="2" applyFont="1" applyFill="1" applyBorder="1" applyAlignment="1">
      <alignment horizontal="center" vertical="center" wrapText="1"/>
    </xf>
    <xf numFmtId="0" fontId="25" fillId="23" borderId="18" xfId="3" applyFont="1" applyFill="1" applyBorder="1" applyAlignment="1">
      <alignment horizontal="center" vertical="center" wrapText="1"/>
    </xf>
    <xf numFmtId="0" fontId="25" fillId="24" borderId="18" xfId="3" applyFont="1" applyFill="1" applyBorder="1" applyAlignment="1">
      <alignment horizontal="center" vertical="center" wrapText="1"/>
    </xf>
    <xf numFmtId="0" fontId="21" fillId="0" borderId="40" xfId="2" applyFont="1" applyFill="1" applyBorder="1" applyAlignment="1">
      <alignment horizontal="center" vertical="center" shrinkToFit="1"/>
    </xf>
    <xf numFmtId="0" fontId="13" fillId="25" borderId="52" xfId="0" applyFont="1" applyFill="1" applyBorder="1" applyAlignment="1">
      <alignment horizontal="center" vertical="center" shrinkToFit="1"/>
    </xf>
    <xf numFmtId="179" fontId="13" fillId="25" borderId="53" xfId="0" applyNumberFormat="1" applyFont="1" applyFill="1" applyBorder="1" applyAlignment="1">
      <alignment horizontal="center" vertical="center" shrinkToFit="1"/>
    </xf>
    <xf numFmtId="0" fontId="13" fillId="25" borderId="54" xfId="0" applyFont="1" applyFill="1" applyBorder="1" applyAlignment="1">
      <alignment horizontal="center" vertical="center" shrinkToFit="1"/>
    </xf>
    <xf numFmtId="180" fontId="13" fillId="25" borderId="52" xfId="0" applyNumberFormat="1" applyFont="1" applyFill="1" applyBorder="1" applyAlignment="1">
      <alignment horizontal="center" vertical="center" shrinkToFit="1"/>
    </xf>
    <xf numFmtId="180" fontId="13" fillId="25" borderId="54" xfId="0" applyNumberFormat="1" applyFont="1" applyFill="1" applyBorder="1" applyAlignment="1">
      <alignment horizontal="center" vertical="center" shrinkToFit="1"/>
    </xf>
    <xf numFmtId="0" fontId="13" fillId="25" borderId="19" xfId="0" applyFont="1" applyFill="1" applyBorder="1" applyAlignment="1">
      <alignment horizontal="center" vertical="center" shrinkToFit="1"/>
    </xf>
    <xf numFmtId="0" fontId="13" fillId="25" borderId="55" xfId="0" applyFont="1" applyFill="1" applyBorder="1" applyAlignment="1">
      <alignment horizontal="center" vertical="center" shrinkToFit="1"/>
    </xf>
    <xf numFmtId="180" fontId="13" fillId="25" borderId="19" xfId="0" applyNumberFormat="1" applyFont="1" applyFill="1" applyBorder="1" applyAlignment="1">
      <alignment horizontal="center" vertical="center" shrinkToFit="1"/>
    </xf>
    <xf numFmtId="0" fontId="14" fillId="25" borderId="19" xfId="0" applyFont="1" applyFill="1" applyBorder="1" applyAlignment="1">
      <alignment horizontal="center" vertical="center" shrinkToFit="1"/>
    </xf>
    <xf numFmtId="0" fontId="25" fillId="0" borderId="18" xfId="2" applyFont="1" applyFill="1" applyBorder="1" applyAlignment="1">
      <alignment vertical="center"/>
    </xf>
    <xf numFmtId="180" fontId="13" fillId="25" borderId="54" xfId="0" applyNumberFormat="1" applyFont="1" applyFill="1" applyBorder="1" applyAlignment="1">
      <alignment horizontal="left" vertical="center" shrinkToFit="1"/>
    </xf>
    <xf numFmtId="0" fontId="13" fillId="25" borderId="46" xfId="0" applyFont="1" applyFill="1" applyBorder="1" applyAlignment="1">
      <alignment horizontal="center" vertical="center" shrinkToFit="1"/>
    </xf>
    <xf numFmtId="179" fontId="13" fillId="25" borderId="47" xfId="0" applyNumberFormat="1" applyFont="1" applyFill="1" applyBorder="1" applyAlignment="1">
      <alignment horizontal="center" vertical="center" shrinkToFit="1"/>
    </xf>
    <xf numFmtId="0" fontId="13" fillId="25" borderId="48" xfId="0" applyFont="1" applyFill="1" applyBorder="1" applyAlignment="1">
      <alignment horizontal="center" vertical="center" shrinkToFit="1"/>
    </xf>
    <xf numFmtId="0" fontId="13" fillId="25" borderId="49" xfId="0" applyFont="1" applyFill="1" applyBorder="1" applyAlignment="1">
      <alignment horizontal="center" vertical="center" shrinkToFit="1"/>
    </xf>
    <xf numFmtId="180" fontId="13" fillId="25" borderId="48" xfId="0" applyNumberFormat="1" applyFont="1" applyFill="1" applyBorder="1" applyAlignment="1">
      <alignment horizontal="center" vertical="center" shrinkToFit="1"/>
    </xf>
    <xf numFmtId="180" fontId="13" fillId="25" borderId="49" xfId="0" applyNumberFormat="1" applyFont="1" applyFill="1" applyBorder="1" applyAlignment="1">
      <alignment horizontal="center" vertical="center" shrinkToFit="1"/>
    </xf>
    <xf numFmtId="180" fontId="13" fillId="25" borderId="54" xfId="0" applyNumberFormat="1" applyFont="1" applyFill="1" applyBorder="1" applyAlignment="1">
      <alignment vertical="center" shrinkToFit="1"/>
    </xf>
    <xf numFmtId="0" fontId="13" fillId="25" borderId="44" xfId="0" applyFont="1" applyFill="1" applyBorder="1" applyAlignment="1">
      <alignment horizontal="center" vertical="center" shrinkToFit="1"/>
    </xf>
    <xf numFmtId="0" fontId="13" fillId="25" borderId="50" xfId="0" applyFont="1" applyFill="1" applyBorder="1" applyAlignment="1">
      <alignment horizontal="center" vertical="center" shrinkToFit="1"/>
    </xf>
    <xf numFmtId="180" fontId="13" fillId="25" borderId="44" xfId="0" applyNumberFormat="1" applyFont="1" applyFill="1" applyBorder="1" applyAlignment="1">
      <alignment horizontal="center" vertical="center" shrinkToFit="1"/>
    </xf>
    <xf numFmtId="0" fontId="14" fillId="25" borderId="44" xfId="0" applyFont="1" applyFill="1" applyBorder="1" applyAlignment="1">
      <alignment horizontal="center" vertical="center" shrinkToFit="1"/>
    </xf>
    <xf numFmtId="0" fontId="13" fillId="25" borderId="51" xfId="0" applyFont="1" applyFill="1" applyBorder="1" applyAlignment="1">
      <alignment horizontal="center" vertical="center" shrinkToFit="1"/>
    </xf>
    <xf numFmtId="0" fontId="36" fillId="17" borderId="18" xfId="2" applyFont="1" applyFill="1" applyBorder="1" applyAlignment="1">
      <alignment horizontal="center" vertical="center" wrapText="1"/>
    </xf>
    <xf numFmtId="0" fontId="36" fillId="12" borderId="18" xfId="2" applyFont="1" applyFill="1" applyBorder="1" applyAlignment="1">
      <alignment horizontal="center" vertical="center" wrapText="1"/>
    </xf>
    <xf numFmtId="0" fontId="36" fillId="9" borderId="18" xfId="3" applyFont="1" applyFill="1" applyBorder="1" applyAlignment="1">
      <alignment horizontal="center" vertical="center" wrapText="1"/>
    </xf>
    <xf numFmtId="0" fontId="36" fillId="8" borderId="18" xfId="2" applyFont="1" applyFill="1" applyBorder="1" applyAlignment="1">
      <alignment horizontal="center" vertical="center" wrapText="1"/>
    </xf>
    <xf numFmtId="0" fontId="36" fillId="0" borderId="18" xfId="0" applyFont="1" applyBorder="1" applyAlignment="1">
      <alignment horizontal="center" vertical="center" wrapText="1"/>
    </xf>
    <xf numFmtId="49" fontId="22" fillId="6" borderId="13" xfId="2" applyNumberFormat="1" applyFont="1" applyFill="1" applyBorder="1" applyAlignment="1">
      <alignment horizontal="center" vertical="center" wrapText="1"/>
    </xf>
    <xf numFmtId="49" fontId="22" fillId="6" borderId="14" xfId="2" applyNumberFormat="1" applyFont="1" applyFill="1" applyBorder="1" applyAlignment="1">
      <alignment horizontal="center" vertical="center" wrapText="1"/>
    </xf>
    <xf numFmtId="49" fontId="22" fillId="6" borderId="13" xfId="2" applyNumberFormat="1" applyFont="1" applyFill="1" applyBorder="1" applyAlignment="1">
      <alignment horizontal="center" vertical="center"/>
    </xf>
    <xf numFmtId="49" fontId="22" fillId="6" borderId="14" xfId="2" applyNumberFormat="1" applyFont="1" applyFill="1" applyBorder="1" applyAlignment="1">
      <alignment horizontal="center" vertical="center"/>
    </xf>
    <xf numFmtId="0" fontId="17" fillId="0" borderId="0" xfId="2" applyFont="1" applyAlignment="1">
      <alignment horizontal="center" vertical="center"/>
    </xf>
    <xf numFmtId="176" fontId="19" fillId="0" borderId="1" xfId="2" applyNumberFormat="1" applyFont="1" applyBorder="1" applyAlignment="1">
      <alignment horizontal="center" vertical="center" wrapText="1"/>
    </xf>
    <xf numFmtId="176" fontId="19" fillId="0" borderId="2" xfId="2" applyNumberFormat="1" applyFont="1" applyBorder="1" applyAlignment="1">
      <alignment horizontal="center" vertical="center" wrapText="1"/>
    </xf>
    <xf numFmtId="176" fontId="19" fillId="0" borderId="4" xfId="2" applyNumberFormat="1" applyFont="1" applyBorder="1" applyAlignment="1">
      <alignment horizontal="center" vertical="center" wrapText="1"/>
    </xf>
    <xf numFmtId="176" fontId="19" fillId="0" borderId="5" xfId="2" applyNumberFormat="1" applyFont="1" applyBorder="1" applyAlignment="1">
      <alignment horizontal="center" vertical="center" wrapText="1"/>
    </xf>
    <xf numFmtId="178" fontId="19" fillId="0" borderId="1" xfId="2" applyNumberFormat="1" applyFont="1" applyBorder="1" applyAlignment="1">
      <alignment horizontal="center" vertical="center" wrapText="1"/>
    </xf>
    <xf numFmtId="178" fontId="19" fillId="0" borderId="2" xfId="2" applyNumberFormat="1" applyFont="1" applyBorder="1" applyAlignment="1">
      <alignment horizontal="center" vertical="center" wrapText="1"/>
    </xf>
    <xf numFmtId="178" fontId="19" fillId="0" borderId="4" xfId="2" applyNumberFormat="1" applyFont="1" applyBorder="1" applyAlignment="1">
      <alignment horizontal="center" vertical="center" wrapText="1"/>
    </xf>
    <xf numFmtId="178" fontId="19" fillId="0" borderId="5" xfId="2" applyNumberFormat="1" applyFont="1" applyBorder="1" applyAlignment="1">
      <alignment horizontal="center" vertical="center" wrapText="1"/>
    </xf>
    <xf numFmtId="49" fontId="21" fillId="3" borderId="7" xfId="2" applyNumberFormat="1" applyFont="1" applyFill="1" applyBorder="1" applyAlignment="1">
      <alignment horizontal="center" vertical="center" wrapText="1"/>
    </xf>
    <xf numFmtId="49" fontId="21" fillId="3" borderId="8" xfId="2" applyNumberFormat="1" applyFont="1" applyFill="1" applyBorder="1" applyAlignment="1">
      <alignment horizontal="center" vertical="center" wrapText="1"/>
    </xf>
    <xf numFmtId="49" fontId="21" fillId="3" borderId="7" xfId="2" applyNumberFormat="1" applyFont="1" applyFill="1" applyBorder="1" applyAlignment="1">
      <alignment horizontal="center" vertical="center"/>
    </xf>
    <xf numFmtId="49" fontId="21" fillId="3" borderId="8" xfId="2" applyNumberFormat="1" applyFont="1" applyFill="1" applyBorder="1" applyAlignment="1">
      <alignment horizontal="center" vertical="center"/>
    </xf>
    <xf numFmtId="49" fontId="21" fillId="0" borderId="22" xfId="2" applyNumberFormat="1" applyFont="1" applyBorder="1" applyAlignment="1">
      <alignment horizontal="center" vertical="center" textRotation="255"/>
    </xf>
    <xf numFmtId="49" fontId="21" fillId="0" borderId="26" xfId="2" applyNumberFormat="1" applyFont="1" applyBorder="1" applyAlignment="1">
      <alignment horizontal="center" vertical="center" textRotation="255"/>
    </xf>
    <xf numFmtId="49" fontId="21" fillId="0" borderId="33" xfId="2" applyNumberFormat="1" applyFont="1" applyBorder="1" applyAlignment="1">
      <alignment horizontal="center" vertical="center" textRotation="255"/>
    </xf>
    <xf numFmtId="49" fontId="21" fillId="2" borderId="23" xfId="2" applyNumberFormat="1" applyFont="1" applyFill="1" applyBorder="1" applyAlignment="1">
      <alignment horizontal="center" vertical="center"/>
    </xf>
    <xf numFmtId="49" fontId="21" fillId="2" borderId="27" xfId="2" applyNumberFormat="1" applyFont="1" applyFill="1" applyBorder="1" applyAlignment="1">
      <alignment horizontal="center" vertical="center"/>
    </xf>
    <xf numFmtId="49" fontId="21" fillId="2" borderId="25" xfId="2" applyNumberFormat="1" applyFont="1" applyFill="1" applyBorder="1" applyAlignment="1">
      <alignment horizontal="center" vertical="center"/>
    </xf>
    <xf numFmtId="49" fontId="21" fillId="2" borderId="28" xfId="2" applyNumberFormat="1" applyFont="1" applyFill="1" applyBorder="1" applyAlignment="1">
      <alignment horizontal="center" vertical="center"/>
    </xf>
    <xf numFmtId="49" fontId="21" fillId="0" borderId="25" xfId="2" applyNumberFormat="1" applyFont="1" applyBorder="1" applyAlignment="1">
      <alignment horizontal="center" vertical="center" textRotation="255"/>
    </xf>
    <xf numFmtId="49" fontId="21" fillId="0" borderId="29" xfId="2" applyNumberFormat="1" applyFont="1" applyBorder="1" applyAlignment="1">
      <alignment horizontal="center" vertical="center" textRotation="255"/>
    </xf>
    <xf numFmtId="49" fontId="21" fillId="0" borderId="36" xfId="2" applyNumberFormat="1" applyFont="1" applyBorder="1" applyAlignment="1">
      <alignment horizontal="center" vertical="center" textRotation="255"/>
    </xf>
    <xf numFmtId="49" fontId="21" fillId="0" borderId="30" xfId="2" applyNumberFormat="1" applyFont="1" applyBorder="1" applyAlignment="1">
      <alignment horizontal="center" vertical="center"/>
    </xf>
    <xf numFmtId="49" fontId="21" fillId="0" borderId="34" xfId="2" applyNumberFormat="1" applyFont="1" applyBorder="1" applyAlignment="1">
      <alignment horizontal="center" vertical="center"/>
    </xf>
    <xf numFmtId="49" fontId="21" fillId="0" borderId="32" xfId="2" applyNumberFormat="1" applyFont="1" applyBorder="1" applyAlignment="1">
      <alignment horizontal="center" vertical="center"/>
    </xf>
    <xf numFmtId="49" fontId="21" fillId="0" borderId="36" xfId="2" applyNumberFormat="1" applyFont="1" applyBorder="1" applyAlignment="1">
      <alignment horizontal="center" vertical="center"/>
    </xf>
    <xf numFmtId="49" fontId="21" fillId="2" borderId="22" xfId="2" applyNumberFormat="1" applyFont="1" applyFill="1" applyBorder="1" applyAlignment="1">
      <alignment horizontal="center" vertical="center" textRotation="255" wrapText="1"/>
    </xf>
    <xf numFmtId="49" fontId="21" fillId="2" borderId="26" xfId="2" applyNumberFormat="1" applyFont="1" applyFill="1" applyBorder="1" applyAlignment="1">
      <alignment horizontal="center" vertical="center" textRotation="255" wrapText="1"/>
    </xf>
    <xf numFmtId="49" fontId="21" fillId="2" borderId="33" xfId="2" applyNumberFormat="1" applyFont="1" applyFill="1" applyBorder="1" applyAlignment="1">
      <alignment horizontal="center" vertical="center" textRotation="255" wrapText="1"/>
    </xf>
    <xf numFmtId="49" fontId="21" fillId="2" borderId="25" xfId="2" applyNumberFormat="1" applyFont="1" applyFill="1" applyBorder="1" applyAlignment="1">
      <alignment horizontal="center" vertical="center" textRotation="255" wrapText="1"/>
    </xf>
    <xf numFmtId="49" fontId="21" fillId="2" borderId="29" xfId="2" applyNumberFormat="1" applyFont="1" applyFill="1" applyBorder="1" applyAlignment="1">
      <alignment horizontal="center" vertical="center" textRotation="255" wrapText="1"/>
    </xf>
    <xf numFmtId="49" fontId="21" fillId="2" borderId="36" xfId="2" applyNumberFormat="1" applyFont="1" applyFill="1" applyBorder="1" applyAlignment="1">
      <alignment horizontal="center" vertical="center" textRotation="255" wrapText="1"/>
    </xf>
    <xf numFmtId="49" fontId="21" fillId="2" borderId="38" xfId="2" applyNumberFormat="1" applyFont="1" applyFill="1" applyBorder="1" applyAlignment="1">
      <alignment horizontal="center" vertical="center"/>
    </xf>
    <xf numFmtId="49" fontId="21" fillId="2" borderId="34" xfId="2" applyNumberFormat="1" applyFont="1" applyFill="1" applyBorder="1" applyAlignment="1">
      <alignment horizontal="center" vertical="center"/>
    </xf>
    <xf numFmtId="49" fontId="21" fillId="2" borderId="29" xfId="2" applyNumberFormat="1" applyFont="1" applyFill="1" applyBorder="1" applyAlignment="1">
      <alignment horizontal="center" vertical="center"/>
    </xf>
    <xf numFmtId="49" fontId="21" fillId="2" borderId="36" xfId="2" applyNumberFormat="1" applyFont="1" applyFill="1" applyBorder="1" applyAlignment="1">
      <alignment horizontal="center" vertical="center"/>
    </xf>
    <xf numFmtId="49" fontId="21" fillId="0" borderId="26" xfId="2" applyNumberFormat="1" applyFont="1" applyBorder="1" applyAlignment="1">
      <alignment horizontal="center" vertical="center" textRotation="255" wrapText="1"/>
    </xf>
    <xf numFmtId="49" fontId="21" fillId="0" borderId="33" xfId="2" applyNumberFormat="1" applyFont="1" applyBorder="1" applyAlignment="1">
      <alignment horizontal="center" vertical="center" textRotation="255" wrapText="1"/>
    </xf>
    <xf numFmtId="49" fontId="21" fillId="0" borderId="38" xfId="2" applyNumberFormat="1" applyFont="1" applyBorder="1" applyAlignment="1">
      <alignment horizontal="center" vertical="center"/>
    </xf>
    <xf numFmtId="49" fontId="21" fillId="0" borderId="27" xfId="2" applyNumberFormat="1" applyFont="1" applyBorder="1" applyAlignment="1">
      <alignment horizontal="center" vertical="center"/>
    </xf>
    <xf numFmtId="49" fontId="21" fillId="0" borderId="29" xfId="2" applyNumberFormat="1" applyFont="1" applyBorder="1" applyAlignment="1">
      <alignment horizontal="center" vertical="center"/>
    </xf>
    <xf numFmtId="49" fontId="21" fillId="0" borderId="28" xfId="2" applyNumberFormat="1" applyFont="1" applyBorder="1" applyAlignment="1">
      <alignment horizontal="center" vertical="center"/>
    </xf>
    <xf numFmtId="49" fontId="21" fillId="0" borderId="29" xfId="2" applyNumberFormat="1" applyFont="1" applyBorder="1" applyAlignment="1">
      <alignment horizontal="center" vertical="center" textRotation="255" wrapText="1"/>
    </xf>
    <xf numFmtId="49" fontId="21" fillId="0" borderId="36" xfId="2" applyNumberFormat="1" applyFont="1" applyBorder="1" applyAlignment="1">
      <alignment horizontal="center" vertical="center" textRotation="255" wrapText="1"/>
    </xf>
  </cellXfs>
  <cellStyles count="5">
    <cellStyle name="桁区切り" xfId="1" builtinId="6"/>
    <cellStyle name="標準" xfId="0" builtinId="0"/>
    <cellStyle name="標準 2" xfId="2" xr:uid="{A9EC1970-ABF2-499D-80F7-9BD1AA799569}"/>
    <cellStyle name="標準 3" xfId="3" xr:uid="{EC8CD534-8C82-4334-9C10-D2FC08438CE4}"/>
    <cellStyle name="標準 4" xfId="4" xr:uid="{A290D1E1-0AAB-49BD-82C5-D303891CE7BB}"/>
  </cellStyles>
  <dxfs count="542">
    <dxf>
      <fill>
        <patternFill>
          <bgColor rgb="FFD8E4BC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CCC0DA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D8E4BC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CCC0DA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D8E4BC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CCC0DA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D8E4BC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D8E4BC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CCC0DA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CCC0DA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D8E4BC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D8E4BC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D8E4B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CCC0DA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CCC0DA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D8E4BC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CCC0DA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CCC0DA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D8E4BC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D8E4BC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CCC0DA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D8E4B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D8E4BC"/>
        </patternFill>
      </fill>
    </dxf>
    <dxf>
      <fill>
        <patternFill>
          <bgColor rgb="FFD8E4BC"/>
        </patternFill>
      </fill>
    </dxf>
    <dxf>
      <fill>
        <patternFill>
          <bgColor rgb="FFCCC0DA"/>
        </patternFill>
      </fill>
    </dxf>
    <dxf>
      <fill>
        <patternFill>
          <bgColor rgb="FFCCC0DA"/>
        </patternFill>
      </fill>
    </dxf>
  </dxfs>
  <tableStyles count="0" defaultTableStyle="TableStyleMedium2" defaultPivotStyle="PivotStyleLight16"/>
  <colors>
    <mruColors>
      <color rgb="FFD6E3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247650</xdr:colOff>
      <xdr:row>0</xdr:row>
      <xdr:rowOff>95250</xdr:rowOff>
    </xdr:from>
    <xdr:ext cx="4914900" cy="571500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7F85A71-7BD5-44DD-A785-129544903897}"/>
            </a:ext>
          </a:extLst>
        </xdr:cNvPr>
        <xdr:cNvSpPr txBox="1"/>
      </xdr:nvSpPr>
      <xdr:spPr>
        <a:xfrm>
          <a:off x="857250" y="95250"/>
          <a:ext cx="4914900" cy="571500"/>
        </a:xfrm>
        <a:prstGeom prst="rect">
          <a:avLst/>
        </a:prstGeom>
        <a:solidFill>
          <a:srgbClr val="F79646">
            <a:lumMod val="40000"/>
            <a:lumOff val="60000"/>
          </a:srgbClr>
        </a:solidFill>
        <a:ln>
          <a:noFill/>
        </a:ln>
        <a:effectLst/>
      </xdr:spPr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4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BIZ UDゴシック" panose="020B0400000000000000" pitchFamily="49" charset="-128"/>
              <a:ea typeface="BIZ UDゴシック" panose="020B0400000000000000" pitchFamily="49" charset="-128"/>
              <a:cs typeface="+mn-cs"/>
            </a:rPr>
            <a:t>* </a:t>
          </a:r>
          <a:r>
            <a:rPr kumimoji="1" lang="ja-JP" altLang="en-US" sz="2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BIZ UDゴシック" panose="020B0400000000000000" pitchFamily="49" charset="-128"/>
              <a:ea typeface="BIZ UDゴシック" panose="020B0400000000000000" pitchFamily="49" charset="-128"/>
              <a:cs typeface="+mn-cs"/>
            </a:rPr>
            <a:t>はその勤務帯のリーダーです</a:t>
          </a:r>
        </a:p>
      </xdr:txBody>
    </xdr:sp>
    <xdr:clientData/>
  </xdr:oneCellAnchor>
  <xdr:twoCellAnchor>
    <xdr:from>
      <xdr:col>3</xdr:col>
      <xdr:colOff>95250</xdr:colOff>
      <xdr:row>35</xdr:row>
      <xdr:rowOff>247650</xdr:rowOff>
    </xdr:from>
    <xdr:to>
      <xdr:col>32</xdr:col>
      <xdr:colOff>552450</xdr:colOff>
      <xdr:row>38</xdr:row>
      <xdr:rowOff>190500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CE5CFCA3-E91F-E257-41F0-62290AA1B4AD}"/>
            </a:ext>
          </a:extLst>
        </xdr:cNvPr>
        <xdr:cNvSpPr txBox="1"/>
      </xdr:nvSpPr>
      <xdr:spPr>
        <a:xfrm>
          <a:off x="1924050" y="18326100"/>
          <a:ext cx="23107650" cy="857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4000"/>
            <a:t>※</a:t>
          </a:r>
          <a:r>
            <a:rPr kumimoji="1" lang="ja-JP" altLang="en-US" sz="4000"/>
            <a:t>未確定（確定次第更新し再提供）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247650</xdr:colOff>
      <xdr:row>0</xdr:row>
      <xdr:rowOff>95250</xdr:rowOff>
    </xdr:from>
    <xdr:ext cx="4914900" cy="571500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D1F657E-2331-431A-9203-DE2591223331}"/>
            </a:ext>
          </a:extLst>
        </xdr:cNvPr>
        <xdr:cNvSpPr txBox="1"/>
      </xdr:nvSpPr>
      <xdr:spPr>
        <a:xfrm>
          <a:off x="857250" y="95250"/>
          <a:ext cx="4914900" cy="571500"/>
        </a:xfrm>
        <a:prstGeom prst="rect">
          <a:avLst/>
        </a:prstGeom>
        <a:solidFill>
          <a:srgbClr val="F79646">
            <a:lumMod val="40000"/>
            <a:lumOff val="60000"/>
          </a:srgbClr>
        </a:solidFill>
        <a:ln>
          <a:noFill/>
        </a:ln>
        <a:effectLst/>
      </xdr:spPr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4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BIZ UDゴシック" panose="020B0400000000000000" pitchFamily="49" charset="-128"/>
              <a:ea typeface="BIZ UDゴシック" panose="020B0400000000000000" pitchFamily="49" charset="-128"/>
              <a:cs typeface="+mn-cs"/>
            </a:rPr>
            <a:t>* </a:t>
          </a:r>
          <a:r>
            <a:rPr kumimoji="1" lang="ja-JP" altLang="en-US" sz="2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BIZ UDゴシック" panose="020B0400000000000000" pitchFamily="49" charset="-128"/>
              <a:ea typeface="BIZ UDゴシック" panose="020B0400000000000000" pitchFamily="49" charset="-128"/>
              <a:cs typeface="+mn-cs"/>
            </a:rPr>
            <a:t>はその勤務帯のリーダーです</a:t>
          </a:r>
        </a:p>
      </xdr:txBody>
    </xdr:sp>
    <xdr:clientData/>
  </xdr:oneCellAnchor>
  <xdr:twoCellAnchor>
    <xdr:from>
      <xdr:col>4</xdr:col>
      <xdr:colOff>1</xdr:colOff>
      <xdr:row>12</xdr:row>
      <xdr:rowOff>1074738</xdr:rowOff>
    </xdr:from>
    <xdr:to>
      <xdr:col>6</xdr:col>
      <xdr:colOff>26988</xdr:colOff>
      <xdr:row>13</xdr:row>
      <xdr:rowOff>19050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F63C196B-7167-4C5F-8BA2-EC96E9394282}"/>
            </a:ext>
          </a:extLst>
        </xdr:cNvPr>
        <xdr:cNvSpPr txBox="1"/>
      </xdr:nvSpPr>
      <xdr:spPr>
        <a:xfrm>
          <a:off x="2609851" y="7856538"/>
          <a:ext cx="1589087" cy="449262"/>
        </a:xfrm>
        <a:prstGeom prst="rect">
          <a:avLst/>
        </a:prstGeom>
        <a:solidFill>
          <a:srgbClr val="F79646">
            <a:lumMod val="20000"/>
            <a:lumOff val="80000"/>
          </a:srgbClr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4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　</a:t>
          </a:r>
          <a:r>
            <a:rPr kumimoji="1" lang="en-US" altLang="ja-JP" sz="2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DMAT</a:t>
          </a:r>
          <a:endParaRPr kumimoji="1" lang="ja-JP" altLang="en-US" sz="2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28</xdr:col>
      <xdr:colOff>769938</xdr:colOff>
      <xdr:row>9</xdr:row>
      <xdr:rowOff>952500</xdr:rowOff>
    </xdr:from>
    <xdr:to>
      <xdr:col>31</xdr:col>
      <xdr:colOff>769938</xdr:colOff>
      <xdr:row>10</xdr:row>
      <xdr:rowOff>-1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9E1D59BC-9722-46B4-BA5C-EAE776E73FB0}"/>
            </a:ext>
          </a:extLst>
        </xdr:cNvPr>
        <xdr:cNvSpPr txBox="1"/>
      </xdr:nvSpPr>
      <xdr:spPr>
        <a:xfrm>
          <a:off x="22124988" y="5124450"/>
          <a:ext cx="2343150" cy="285749"/>
        </a:xfrm>
        <a:prstGeom prst="rect">
          <a:avLst/>
        </a:prstGeom>
        <a:solidFill>
          <a:srgbClr val="F79646">
            <a:lumMod val="20000"/>
            <a:lumOff val="80000"/>
          </a:srgbClr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救急学会</a:t>
          </a:r>
        </a:p>
      </xdr:txBody>
    </xdr:sp>
    <xdr:clientData/>
  </xdr:twoCellAnchor>
  <xdr:twoCellAnchor>
    <xdr:from>
      <xdr:col>29</xdr:col>
      <xdr:colOff>762000</xdr:colOff>
      <xdr:row>12</xdr:row>
      <xdr:rowOff>1181100</xdr:rowOff>
    </xdr:from>
    <xdr:to>
      <xdr:col>32</xdr:col>
      <xdr:colOff>0</xdr:colOff>
      <xdr:row>12</xdr:row>
      <xdr:rowOff>1485900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3025355A-F62D-4438-AC2F-6F84B13B4863}"/>
            </a:ext>
          </a:extLst>
        </xdr:cNvPr>
        <xdr:cNvSpPr txBox="1"/>
      </xdr:nvSpPr>
      <xdr:spPr>
        <a:xfrm>
          <a:off x="22898100" y="8401050"/>
          <a:ext cx="1581150" cy="304800"/>
        </a:xfrm>
        <a:prstGeom prst="rect">
          <a:avLst/>
        </a:prstGeom>
        <a:solidFill>
          <a:srgbClr val="F79646">
            <a:lumMod val="20000"/>
            <a:lumOff val="80000"/>
          </a:srgbClr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救急学会</a:t>
          </a:r>
        </a:p>
      </xdr:txBody>
    </xdr:sp>
    <xdr:clientData/>
  </xdr:twoCellAnchor>
  <xdr:twoCellAnchor>
    <xdr:from>
      <xdr:col>29</xdr:col>
      <xdr:colOff>0</xdr:colOff>
      <xdr:row>14</xdr:row>
      <xdr:rowOff>876300</xdr:rowOff>
    </xdr:from>
    <xdr:to>
      <xdr:col>32</xdr:col>
      <xdr:colOff>0</xdr:colOff>
      <xdr:row>15</xdr:row>
      <xdr:rowOff>95250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3F0AE002-08F6-4760-9EDC-3C6D942AB308}"/>
            </a:ext>
          </a:extLst>
        </xdr:cNvPr>
        <xdr:cNvSpPr txBox="1"/>
      </xdr:nvSpPr>
      <xdr:spPr>
        <a:xfrm>
          <a:off x="22136100" y="10668000"/>
          <a:ext cx="2343150" cy="285750"/>
        </a:xfrm>
        <a:prstGeom prst="rect">
          <a:avLst/>
        </a:prstGeom>
        <a:solidFill>
          <a:srgbClr val="F79646">
            <a:lumMod val="20000"/>
            <a:lumOff val="80000"/>
          </a:srgbClr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救急学会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247650</xdr:colOff>
      <xdr:row>0</xdr:row>
      <xdr:rowOff>95250</xdr:rowOff>
    </xdr:from>
    <xdr:ext cx="4914900" cy="571500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1640D64C-FE74-4A81-A004-73F1A00C4AAD}"/>
            </a:ext>
          </a:extLst>
        </xdr:cNvPr>
        <xdr:cNvSpPr txBox="1"/>
      </xdr:nvSpPr>
      <xdr:spPr>
        <a:xfrm>
          <a:off x="857250" y="95250"/>
          <a:ext cx="4914900" cy="571500"/>
        </a:xfrm>
        <a:prstGeom prst="rect">
          <a:avLst/>
        </a:prstGeom>
        <a:solidFill>
          <a:srgbClr val="F79646">
            <a:lumMod val="40000"/>
            <a:lumOff val="60000"/>
          </a:srgbClr>
        </a:solidFill>
        <a:ln>
          <a:noFill/>
        </a:ln>
        <a:effectLst/>
      </xdr:spPr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4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BIZ UDゴシック" panose="020B0400000000000000" pitchFamily="49" charset="-128"/>
              <a:ea typeface="BIZ UDゴシック" panose="020B0400000000000000" pitchFamily="49" charset="-128"/>
              <a:cs typeface="+mn-cs"/>
            </a:rPr>
            <a:t>* </a:t>
          </a:r>
          <a:r>
            <a:rPr kumimoji="1" lang="ja-JP" altLang="en-US" sz="2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BIZ UDゴシック" panose="020B0400000000000000" pitchFamily="49" charset="-128"/>
              <a:ea typeface="BIZ UDゴシック" panose="020B0400000000000000" pitchFamily="49" charset="-128"/>
              <a:cs typeface="+mn-cs"/>
            </a:rPr>
            <a:t>はその勤務帯のリーダーです</a:t>
          </a:r>
        </a:p>
      </xdr:txBody>
    </xdr:sp>
    <xdr:clientData/>
  </xdr:oneCellAnchor>
  <xdr:twoCellAnchor>
    <xdr:from>
      <xdr:col>18</xdr:col>
      <xdr:colOff>11111</xdr:colOff>
      <xdr:row>17</xdr:row>
      <xdr:rowOff>647700</xdr:rowOff>
    </xdr:from>
    <xdr:to>
      <xdr:col>19</xdr:col>
      <xdr:colOff>241299</xdr:colOff>
      <xdr:row>18</xdr:row>
      <xdr:rowOff>126999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A6B6B01B-56EC-40E2-A860-801BB8C639ED}"/>
            </a:ext>
          </a:extLst>
        </xdr:cNvPr>
        <xdr:cNvSpPr txBox="1"/>
      </xdr:nvSpPr>
      <xdr:spPr>
        <a:xfrm>
          <a:off x="13555661" y="12782550"/>
          <a:ext cx="1011238" cy="355599"/>
        </a:xfrm>
        <a:prstGeom prst="rect">
          <a:avLst/>
        </a:prstGeom>
        <a:solidFill>
          <a:srgbClr val="F79646">
            <a:lumMod val="20000"/>
            <a:lumOff val="80000"/>
          </a:srgbClr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18:30</a:t>
          </a:r>
          <a:r>
            <a:rPr kumimoji="1" lang="ja-JP" altLang="en-US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～</a:t>
          </a:r>
        </a:p>
      </xdr:txBody>
    </xdr:sp>
    <xdr:clientData/>
  </xdr:twoCellAnchor>
  <xdr:twoCellAnchor>
    <xdr:from>
      <xdr:col>17</xdr:col>
      <xdr:colOff>769938</xdr:colOff>
      <xdr:row>12</xdr:row>
      <xdr:rowOff>704850</xdr:rowOff>
    </xdr:from>
    <xdr:to>
      <xdr:col>19</xdr:col>
      <xdr:colOff>239713</xdr:colOff>
      <xdr:row>13</xdr:row>
      <xdr:rowOff>-1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0AD343A5-C081-4163-BFD7-FCF1F24C8473}"/>
            </a:ext>
          </a:extLst>
        </xdr:cNvPr>
        <xdr:cNvSpPr txBox="1"/>
      </xdr:nvSpPr>
      <xdr:spPr>
        <a:xfrm>
          <a:off x="13533438" y="8077200"/>
          <a:ext cx="1031875" cy="400049"/>
        </a:xfrm>
        <a:prstGeom prst="rect">
          <a:avLst/>
        </a:prstGeom>
        <a:solidFill>
          <a:srgbClr val="F79646">
            <a:lumMod val="20000"/>
            <a:lumOff val="80000"/>
          </a:srgbClr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～</a:t>
          </a:r>
          <a:r>
            <a:rPr kumimoji="1" lang="en-US" altLang="ja-JP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18:30</a:t>
          </a:r>
          <a:endParaRPr kumimoji="1" lang="ja-JP" altLang="en-US" sz="18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247650</xdr:colOff>
      <xdr:row>0</xdr:row>
      <xdr:rowOff>95250</xdr:rowOff>
    </xdr:from>
    <xdr:ext cx="4591050" cy="571500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A5743537-5052-40A8-8D46-70DD6C8430A9}"/>
            </a:ext>
          </a:extLst>
        </xdr:cNvPr>
        <xdr:cNvSpPr txBox="1"/>
      </xdr:nvSpPr>
      <xdr:spPr>
        <a:xfrm>
          <a:off x="857250" y="95250"/>
          <a:ext cx="4591050" cy="571500"/>
        </a:xfrm>
        <a:prstGeom prst="rect">
          <a:avLst/>
        </a:prstGeom>
        <a:solidFill>
          <a:srgbClr val="F79646">
            <a:lumMod val="40000"/>
            <a:lumOff val="60000"/>
          </a:srgbClr>
        </a:solidFill>
        <a:ln>
          <a:noFill/>
        </a:ln>
        <a:effectLst/>
      </xdr:spPr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4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 panose="020B0600070205080204" pitchFamily="50" charset="-128"/>
              <a:cs typeface="+mn-cs"/>
            </a:rPr>
            <a:t>* </a:t>
          </a:r>
          <a:r>
            <a:rPr kumimoji="1" lang="ja-JP" altLang="en-US" sz="2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 panose="020B0600070205080204" pitchFamily="50" charset="-128"/>
              <a:cs typeface="+mn-cs"/>
            </a:rPr>
            <a:t>はその勤務帯のリーダーです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247650</xdr:colOff>
      <xdr:row>0</xdr:row>
      <xdr:rowOff>95250</xdr:rowOff>
    </xdr:from>
    <xdr:ext cx="4591050" cy="571500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E1995041-ACAC-418A-B5C9-2EF7971D271B}"/>
            </a:ext>
          </a:extLst>
        </xdr:cNvPr>
        <xdr:cNvSpPr txBox="1"/>
      </xdr:nvSpPr>
      <xdr:spPr>
        <a:xfrm>
          <a:off x="857250" y="95250"/>
          <a:ext cx="4591050" cy="571500"/>
        </a:xfrm>
        <a:prstGeom prst="rect">
          <a:avLst/>
        </a:prstGeom>
        <a:solidFill>
          <a:srgbClr val="F79646">
            <a:lumMod val="40000"/>
            <a:lumOff val="60000"/>
          </a:srgbClr>
        </a:solidFill>
        <a:ln>
          <a:noFill/>
        </a:ln>
        <a:effectLst/>
      </xdr:spPr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4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 panose="020B0600070205080204" pitchFamily="50" charset="-128"/>
              <a:cs typeface="+mn-cs"/>
            </a:rPr>
            <a:t>* </a:t>
          </a:r>
          <a:r>
            <a:rPr kumimoji="1" lang="ja-JP" altLang="en-US" sz="2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 panose="020B0600070205080204" pitchFamily="50" charset="-128"/>
              <a:cs typeface="+mn-cs"/>
            </a:rPr>
            <a:t>はその勤務帯のリーダーです</a:t>
          </a:r>
        </a:p>
      </xdr:txBody>
    </xdr:sp>
    <xdr:clientData/>
  </xdr:oneCellAnchor>
  <xdr:twoCellAnchor>
    <xdr:from>
      <xdr:col>19</xdr:col>
      <xdr:colOff>735010</xdr:colOff>
      <xdr:row>11</xdr:row>
      <xdr:rowOff>685800</xdr:rowOff>
    </xdr:from>
    <xdr:to>
      <xdr:col>23</xdr:col>
      <xdr:colOff>152399</xdr:colOff>
      <xdr:row>12</xdr:row>
      <xdr:rowOff>38100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B828AC6F-5EFD-47F8-A0D1-5B1F34957FE3}"/>
            </a:ext>
          </a:extLst>
        </xdr:cNvPr>
        <xdr:cNvSpPr txBox="1"/>
      </xdr:nvSpPr>
      <xdr:spPr>
        <a:xfrm>
          <a:off x="15060610" y="6134100"/>
          <a:ext cx="2541589" cy="381000"/>
        </a:xfrm>
        <a:prstGeom prst="rect">
          <a:avLst/>
        </a:prstGeom>
        <a:solidFill>
          <a:srgbClr val="F79646">
            <a:lumMod val="20000"/>
            <a:lumOff val="80000"/>
          </a:srgbClr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産業医研修会＠東京</a:t>
          </a:r>
        </a:p>
      </xdr:txBody>
    </xdr:sp>
    <xdr:clientData/>
  </xdr:twoCellAnchor>
  <xdr:twoCellAnchor>
    <xdr:from>
      <xdr:col>25</xdr:col>
      <xdr:colOff>779461</xdr:colOff>
      <xdr:row>16</xdr:row>
      <xdr:rowOff>723900</xdr:rowOff>
    </xdr:from>
    <xdr:to>
      <xdr:col>29</xdr:col>
      <xdr:colOff>47624</xdr:colOff>
      <xdr:row>17</xdr:row>
      <xdr:rowOff>6350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5AC39843-B449-4897-B348-0772113922BE}"/>
            </a:ext>
          </a:extLst>
        </xdr:cNvPr>
        <xdr:cNvSpPr txBox="1"/>
      </xdr:nvSpPr>
      <xdr:spPr>
        <a:xfrm>
          <a:off x="19791361" y="10591800"/>
          <a:ext cx="2392363" cy="387350"/>
        </a:xfrm>
        <a:prstGeom prst="rect">
          <a:avLst/>
        </a:prstGeom>
        <a:solidFill>
          <a:srgbClr val="F79646">
            <a:lumMod val="20000"/>
            <a:lumOff val="80000"/>
          </a:srgbClr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中毒学会＠大阪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247650</xdr:colOff>
      <xdr:row>0</xdr:row>
      <xdr:rowOff>95250</xdr:rowOff>
    </xdr:from>
    <xdr:ext cx="4591050" cy="571500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DA479611-7C7F-47CC-B5EC-533903A36CB6}"/>
            </a:ext>
          </a:extLst>
        </xdr:cNvPr>
        <xdr:cNvSpPr txBox="1"/>
      </xdr:nvSpPr>
      <xdr:spPr>
        <a:xfrm>
          <a:off x="857250" y="95250"/>
          <a:ext cx="4591050" cy="571500"/>
        </a:xfrm>
        <a:prstGeom prst="rect">
          <a:avLst/>
        </a:prstGeom>
        <a:solidFill>
          <a:srgbClr val="F79646">
            <a:lumMod val="40000"/>
            <a:lumOff val="60000"/>
          </a:srgbClr>
        </a:solidFill>
        <a:ln>
          <a:noFill/>
        </a:ln>
        <a:effectLst/>
      </xdr:spPr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4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 panose="020B0600070205080204" pitchFamily="50" charset="-128"/>
              <a:cs typeface="+mn-cs"/>
            </a:rPr>
            <a:t>* </a:t>
          </a:r>
          <a:r>
            <a:rPr kumimoji="1" lang="ja-JP" altLang="en-US" sz="2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 panose="020B0600070205080204" pitchFamily="50" charset="-128"/>
              <a:cs typeface="+mn-cs"/>
            </a:rPr>
            <a:t>はその勤務帯のリーダーです</a:t>
          </a:r>
        </a:p>
      </xdr:txBody>
    </xdr:sp>
    <xdr:clientData/>
  </xdr:oneCellAnchor>
  <xdr:twoCellAnchor>
    <xdr:from>
      <xdr:col>25</xdr:col>
      <xdr:colOff>731837</xdr:colOff>
      <xdr:row>12</xdr:row>
      <xdr:rowOff>704850</xdr:rowOff>
    </xdr:from>
    <xdr:to>
      <xdr:col>28</xdr:col>
      <xdr:colOff>160337</xdr:colOff>
      <xdr:row>12</xdr:row>
      <xdr:rowOff>1085850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37E3E98F-9732-490D-83B2-3FDBD00E5877}"/>
            </a:ext>
          </a:extLst>
        </xdr:cNvPr>
        <xdr:cNvSpPr txBox="1"/>
      </xdr:nvSpPr>
      <xdr:spPr>
        <a:xfrm>
          <a:off x="19743737" y="6877050"/>
          <a:ext cx="1771650" cy="381000"/>
        </a:xfrm>
        <a:prstGeom prst="rect">
          <a:avLst/>
        </a:prstGeom>
        <a:solidFill>
          <a:srgbClr val="F79646">
            <a:lumMod val="20000"/>
            <a:lumOff val="80000"/>
          </a:srgbClr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DMAT</a:t>
          </a: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＠神戸</a:t>
          </a:r>
        </a:p>
      </xdr:txBody>
    </xdr:sp>
    <xdr:clientData/>
  </xdr:twoCellAnchor>
  <xdr:twoCellAnchor>
    <xdr:from>
      <xdr:col>12</xdr:col>
      <xdr:colOff>68262</xdr:colOff>
      <xdr:row>16</xdr:row>
      <xdr:rowOff>704850</xdr:rowOff>
    </xdr:from>
    <xdr:to>
      <xdr:col>14</xdr:col>
      <xdr:colOff>762000</xdr:colOff>
      <xdr:row>17</xdr:row>
      <xdr:rowOff>1586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F2F60D3C-8ABC-42D9-95E6-419E3E8381B0}"/>
            </a:ext>
          </a:extLst>
        </xdr:cNvPr>
        <xdr:cNvSpPr txBox="1"/>
      </xdr:nvSpPr>
      <xdr:spPr>
        <a:xfrm>
          <a:off x="8926512" y="10325100"/>
          <a:ext cx="2255838" cy="401636"/>
        </a:xfrm>
        <a:prstGeom prst="rect">
          <a:avLst/>
        </a:prstGeom>
        <a:solidFill>
          <a:srgbClr val="F79646">
            <a:lumMod val="20000"/>
            <a:lumOff val="80000"/>
          </a:srgbClr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法医学会＠旭川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20638</xdr:colOff>
      <xdr:row>17</xdr:row>
      <xdr:rowOff>590550</xdr:rowOff>
    </xdr:from>
    <xdr:to>
      <xdr:col>17</xdr:col>
      <xdr:colOff>381000</xdr:colOff>
      <xdr:row>17</xdr:row>
      <xdr:rowOff>914400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48E8D56F-8020-4952-9428-60F899081DE4}"/>
            </a:ext>
          </a:extLst>
        </xdr:cNvPr>
        <xdr:cNvSpPr txBox="1"/>
      </xdr:nvSpPr>
      <xdr:spPr>
        <a:xfrm>
          <a:off x="10517188" y="11315700"/>
          <a:ext cx="1027112" cy="323850"/>
        </a:xfrm>
        <a:prstGeom prst="rect">
          <a:avLst/>
        </a:prstGeom>
        <a:solidFill>
          <a:srgbClr val="F79646">
            <a:lumMod val="20000"/>
            <a:lumOff val="80000"/>
          </a:srgbClr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18:30</a:t>
          </a:r>
          <a:r>
            <a:rPr kumimoji="1" lang="ja-JP" altLang="en-US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～</a:t>
          </a:r>
        </a:p>
      </xdr:txBody>
    </xdr:sp>
    <xdr:clientData/>
  </xdr:twoCellAnchor>
  <xdr:twoCellAnchor>
    <xdr:from>
      <xdr:col>16</xdr:col>
      <xdr:colOff>0</xdr:colOff>
      <xdr:row>16</xdr:row>
      <xdr:rowOff>628650</xdr:rowOff>
    </xdr:from>
    <xdr:to>
      <xdr:col>17</xdr:col>
      <xdr:colOff>323850</xdr:colOff>
      <xdr:row>16</xdr:row>
      <xdr:rowOff>933450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3994BA48-5D36-48A7-ABD5-0CD143F4760D}"/>
            </a:ext>
          </a:extLst>
        </xdr:cNvPr>
        <xdr:cNvSpPr txBox="1"/>
      </xdr:nvSpPr>
      <xdr:spPr>
        <a:xfrm>
          <a:off x="10496550" y="10401300"/>
          <a:ext cx="990600" cy="304800"/>
        </a:xfrm>
        <a:prstGeom prst="rect">
          <a:avLst/>
        </a:prstGeom>
        <a:solidFill>
          <a:srgbClr val="F79646">
            <a:lumMod val="20000"/>
            <a:lumOff val="80000"/>
          </a:srgbClr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～</a:t>
          </a:r>
          <a:r>
            <a:rPr kumimoji="1" lang="en-US" altLang="ja-JP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18:30</a:t>
          </a:r>
          <a:endParaRPr kumimoji="1" lang="ja-JP" altLang="en-US" sz="18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  <xdr:oneCellAnchor>
    <xdr:from>
      <xdr:col>1</xdr:col>
      <xdr:colOff>247650</xdr:colOff>
      <xdr:row>0</xdr:row>
      <xdr:rowOff>95250</xdr:rowOff>
    </xdr:from>
    <xdr:ext cx="4591050" cy="571500"/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1CFF3178-F99B-4730-BD25-7929FBECD175}"/>
            </a:ext>
          </a:extLst>
        </xdr:cNvPr>
        <xdr:cNvSpPr txBox="1"/>
      </xdr:nvSpPr>
      <xdr:spPr>
        <a:xfrm>
          <a:off x="857250" y="95250"/>
          <a:ext cx="4591050" cy="571500"/>
        </a:xfrm>
        <a:prstGeom prst="rect">
          <a:avLst/>
        </a:prstGeom>
        <a:solidFill>
          <a:srgbClr val="F79646">
            <a:lumMod val="40000"/>
            <a:lumOff val="60000"/>
          </a:srgbClr>
        </a:solidFill>
        <a:ln>
          <a:noFill/>
        </a:ln>
        <a:effectLst/>
      </xdr:spPr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4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 panose="020B0600070205080204" pitchFamily="50" charset="-128"/>
              <a:cs typeface="+mn-cs"/>
            </a:rPr>
            <a:t>* </a:t>
          </a:r>
          <a:r>
            <a:rPr kumimoji="1" lang="ja-JP" altLang="en-US" sz="2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 panose="020B0600070205080204" pitchFamily="50" charset="-128"/>
              <a:cs typeface="+mn-cs"/>
            </a:rPr>
            <a:t>はその勤務帯のリーダーです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yoin-intrasv\&#30149;&#38498;&#23616;\01&#32076;&#21942;&#31649;&#29702;&#37096;\04&#21307;&#20107;&#35506;\02&#35386;&#30274;&#24773;&#22577;&#25285;&#24403;&#20418;\&#20418;&#38263;\&#25937;&#21629;&#25937;&#24613;&#12475;&#12531;&#12479;&#12540;&#38306;&#36899;\03%20&#25937;&#21629;&#25937;&#24613;&#12475;&#12531;&#12479;&#12540;&#21220;&#21209;&#34920;\R6&#24180;&#24230;\10&#26376;\QQ&#65288;&#30740;&#20462;&#21307;&#65289;10&#26376;&#12471;&#12501;&#1248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FILE01\share2\01%20&#32076;&#21942;&#31649;&#29702;&#37096;\0104%20&#21307;&#20107;&#35506;\010404%20&#35386;&#30274;&#24773;&#22577;&#25285;&#24403;&#20418;\&#25937;&#21629;&#25937;&#24613;&#12475;&#12531;&#12479;&#12540;&#21220;&#21209;&#34920;\R7&#24180;&#24230;\9&#26376;\202509_&#25937;&#21629;&#25937;&#24613;&#12475;&#12531;&#12479;&#12540;&#21220;&#21209;&#34920;&#65288;&#20840;&#20307;&#29256;&#652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24-10"/>
      <sheetName val="Sheet1"/>
    </sheetNames>
    <sheetDataSet>
      <sheetData sheetId="0"/>
      <sheetData sheetId="1">
        <row r="3">
          <cell r="A3">
            <v>45411</v>
          </cell>
        </row>
        <row r="4">
          <cell r="A4">
            <v>45415</v>
          </cell>
        </row>
        <row r="5">
          <cell r="A5">
            <v>45416</v>
          </cell>
        </row>
        <row r="6">
          <cell r="A6">
            <v>45417</v>
          </cell>
        </row>
        <row r="7">
          <cell r="A7">
            <v>45418</v>
          </cell>
        </row>
        <row r="8">
          <cell r="A8">
            <v>45488</v>
          </cell>
        </row>
        <row r="9">
          <cell r="A9">
            <v>45516</v>
          </cell>
        </row>
        <row r="10">
          <cell r="A10">
            <v>45551</v>
          </cell>
        </row>
        <row r="11">
          <cell r="A11">
            <v>45557</v>
          </cell>
        </row>
        <row r="12">
          <cell r="A12">
            <v>45558</v>
          </cell>
        </row>
        <row r="13">
          <cell r="A13">
            <v>45579</v>
          </cell>
        </row>
        <row r="14">
          <cell r="A14">
            <v>45599</v>
          </cell>
        </row>
        <row r="15">
          <cell r="A15">
            <v>45600</v>
          </cell>
        </row>
        <row r="16">
          <cell r="A16">
            <v>45619</v>
          </cell>
        </row>
        <row r="17">
          <cell r="A17">
            <v>45655</v>
          </cell>
        </row>
        <row r="18">
          <cell r="A18">
            <v>45656</v>
          </cell>
        </row>
        <row r="19">
          <cell r="A19">
            <v>45657</v>
          </cell>
        </row>
        <row r="20">
          <cell r="A20">
            <v>45658</v>
          </cell>
        </row>
        <row r="21">
          <cell r="A21">
            <v>45659</v>
          </cell>
        </row>
        <row r="22">
          <cell r="A22">
            <v>45660</v>
          </cell>
        </row>
        <row r="23">
          <cell r="A23">
            <v>45670</v>
          </cell>
        </row>
        <row r="24">
          <cell r="A24">
            <v>45699</v>
          </cell>
        </row>
        <row r="25">
          <cell r="A25">
            <v>45711</v>
          </cell>
        </row>
        <row r="26">
          <cell r="A26">
            <v>45712</v>
          </cell>
        </row>
        <row r="27">
          <cell r="A27">
            <v>45736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24-04"/>
      <sheetName val="2024-05"/>
      <sheetName val="2024-06"/>
      <sheetName val="2024-07"/>
      <sheetName val="2024-08"/>
      <sheetName val="2024-09"/>
      <sheetName val="2024-10"/>
      <sheetName val="2024-11"/>
      <sheetName val="2024-12"/>
      <sheetName val="2025-01"/>
      <sheetName val="2025-02"/>
      <sheetName val="2025-03"/>
      <sheetName val="2025-04"/>
      <sheetName val="2025-05"/>
      <sheetName val="2025-06"/>
      <sheetName val="2025-07"/>
      <sheetName val="2025-08"/>
      <sheetName val="作業用 (2)"/>
      <sheetName val="作業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57">
          <cell r="S57" t="str">
            <v>○</v>
          </cell>
          <cell r="T57" t="str">
            <v>小児</v>
          </cell>
        </row>
        <row r="58">
          <cell r="S58" t="str">
            <v>●</v>
          </cell>
          <cell r="T58" t="str">
            <v>循環
呼吸</v>
          </cell>
        </row>
        <row r="59">
          <cell r="S59" t="str">
            <v>△</v>
          </cell>
          <cell r="T59" t="str">
            <v>けが
災害</v>
          </cell>
        </row>
        <row r="60">
          <cell r="S60" t="str">
            <v>■</v>
          </cell>
          <cell r="T60" t="str">
            <v>消化器</v>
          </cell>
        </row>
        <row r="61">
          <cell r="S61" t="str">
            <v>□</v>
          </cell>
          <cell r="T61" t="str">
            <v>精神</v>
          </cell>
        </row>
        <row r="62">
          <cell r="S62" t="str">
            <v>▲</v>
          </cell>
          <cell r="T62" t="str">
            <v>ACS</v>
          </cell>
        </row>
        <row r="63">
          <cell r="S63" t="str">
            <v>〇</v>
          </cell>
          <cell r="T63" t="str">
            <v>小児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28757-0129-46EB-9D1A-8071CF4F6DF9}">
  <sheetPr>
    <pageSetUpPr fitToPage="1"/>
  </sheetPr>
  <dimension ref="B2:AO39"/>
  <sheetViews>
    <sheetView tabSelected="1" zoomScale="50" zoomScaleNormal="50" workbookViewId="0"/>
  </sheetViews>
  <sheetFormatPr defaultRowHeight="13" x14ac:dyDescent="0.2"/>
  <cols>
    <col min="1" max="3" width="8.7265625" style="14"/>
    <col min="4" max="34" width="11.1796875" style="14" customWidth="1"/>
    <col min="35" max="16384" width="8.7265625" style="14"/>
  </cols>
  <sheetData>
    <row r="2" spans="2:41" ht="41.5" thickBot="1" x14ac:dyDescent="0.25">
      <c r="B2" s="217" t="str">
        <f>AN3 &amp; "年" &amp; AO3 &amp; "月　勤務表"</f>
        <v>2026年11月　勤務表</v>
      </c>
      <c r="C2" s="217"/>
      <c r="D2" s="217"/>
      <c r="E2" s="217"/>
      <c r="F2" s="217"/>
      <c r="G2" s="217"/>
      <c r="H2" s="217"/>
      <c r="I2" s="217"/>
      <c r="J2" s="217"/>
      <c r="K2" s="217"/>
      <c r="L2" s="217"/>
      <c r="M2" s="217"/>
      <c r="N2" s="217"/>
      <c r="O2" s="217"/>
      <c r="P2" s="217"/>
      <c r="Q2" s="217"/>
      <c r="R2" s="217"/>
      <c r="S2" s="217"/>
      <c r="T2" s="217"/>
      <c r="U2" s="217"/>
      <c r="V2" s="217"/>
      <c r="W2" s="217"/>
      <c r="X2" s="217"/>
      <c r="Y2" s="217"/>
      <c r="Z2" s="217"/>
      <c r="AA2" s="217"/>
      <c r="AB2" s="217"/>
      <c r="AC2" s="217"/>
      <c r="AD2" s="217"/>
      <c r="AE2" s="217"/>
      <c r="AF2" s="217"/>
      <c r="AG2" s="217"/>
      <c r="AH2" s="217"/>
      <c r="AI2" s="217"/>
      <c r="AJ2" s="217"/>
    </row>
    <row r="3" spans="2:41" ht="25" x14ac:dyDescent="0.2">
      <c r="B3" s="218" t="str">
        <f>AN3&amp;"年
" &amp;AO3 &amp; "月"</f>
        <v>2026年
11月</v>
      </c>
      <c r="C3" s="219"/>
      <c r="D3" s="15">
        <f>DATE(AN3,AO3,1)</f>
        <v>46327</v>
      </c>
      <c r="E3" s="16">
        <f>D3+1</f>
        <v>46328</v>
      </c>
      <c r="F3" s="17">
        <f t="shared" ref="F3:AG3" si="0">E3+1</f>
        <v>46329</v>
      </c>
      <c r="G3" s="16">
        <f t="shared" si="0"/>
        <v>46330</v>
      </c>
      <c r="H3" s="16">
        <f t="shared" si="0"/>
        <v>46331</v>
      </c>
      <c r="I3" s="16">
        <f t="shared" si="0"/>
        <v>46332</v>
      </c>
      <c r="J3" s="16">
        <f>I3+1</f>
        <v>46333</v>
      </c>
      <c r="K3" s="15">
        <f t="shared" si="0"/>
        <v>46334</v>
      </c>
      <c r="L3" s="16">
        <f t="shared" si="0"/>
        <v>46335</v>
      </c>
      <c r="M3" s="16">
        <f t="shared" si="0"/>
        <v>46336</v>
      </c>
      <c r="N3" s="16">
        <f>M3+1</f>
        <v>46337</v>
      </c>
      <c r="O3" s="16">
        <f t="shared" si="0"/>
        <v>46338</v>
      </c>
      <c r="P3" s="16">
        <f t="shared" si="0"/>
        <v>46339</v>
      </c>
      <c r="Q3" s="16">
        <f t="shared" si="0"/>
        <v>46340</v>
      </c>
      <c r="R3" s="16">
        <f t="shared" si="0"/>
        <v>46341</v>
      </c>
      <c r="S3" s="16">
        <f t="shared" si="0"/>
        <v>46342</v>
      </c>
      <c r="T3" s="16">
        <f t="shared" si="0"/>
        <v>46343</v>
      </c>
      <c r="U3" s="16">
        <f t="shared" si="0"/>
        <v>46344</v>
      </c>
      <c r="V3" s="16">
        <f t="shared" si="0"/>
        <v>46345</v>
      </c>
      <c r="W3" s="16">
        <f t="shared" si="0"/>
        <v>46346</v>
      </c>
      <c r="X3" s="16">
        <f t="shared" si="0"/>
        <v>46347</v>
      </c>
      <c r="Y3" s="16">
        <f t="shared" si="0"/>
        <v>46348</v>
      </c>
      <c r="Z3" s="17">
        <f>Y3+1</f>
        <v>46349</v>
      </c>
      <c r="AA3" s="16">
        <f t="shared" si="0"/>
        <v>46350</v>
      </c>
      <c r="AB3" s="16">
        <f t="shared" si="0"/>
        <v>46351</v>
      </c>
      <c r="AC3" s="16">
        <f t="shared" si="0"/>
        <v>46352</v>
      </c>
      <c r="AD3" s="16">
        <f>AC3+1</f>
        <v>46353</v>
      </c>
      <c r="AE3" s="16">
        <f t="shared" si="0"/>
        <v>46354</v>
      </c>
      <c r="AF3" s="16">
        <f>AE3+1</f>
        <v>46355</v>
      </c>
      <c r="AG3" s="16">
        <f t="shared" si="0"/>
        <v>46356</v>
      </c>
      <c r="AH3" s="156" t="s">
        <v>353</v>
      </c>
      <c r="AI3" s="222" t="str">
        <f>B3</f>
        <v>2026年
11月</v>
      </c>
      <c r="AJ3" s="223"/>
      <c r="AN3" s="14">
        <v>2026</v>
      </c>
      <c r="AO3" s="14">
        <v>11</v>
      </c>
    </row>
    <row r="4" spans="2:41" ht="25.5" thickBot="1" x14ac:dyDescent="0.25">
      <c r="B4" s="220"/>
      <c r="C4" s="221"/>
      <c r="D4" s="18">
        <f>D3</f>
        <v>46327</v>
      </c>
      <c r="E4" s="18">
        <f t="shared" ref="E4:AE4" si="1">E3</f>
        <v>46328</v>
      </c>
      <c r="F4" s="19">
        <f t="shared" si="1"/>
        <v>46329</v>
      </c>
      <c r="G4" s="18">
        <f t="shared" si="1"/>
        <v>46330</v>
      </c>
      <c r="H4" s="18">
        <f t="shared" si="1"/>
        <v>46331</v>
      </c>
      <c r="I4" s="18">
        <f t="shared" si="1"/>
        <v>46332</v>
      </c>
      <c r="J4" s="18">
        <f t="shared" si="1"/>
        <v>46333</v>
      </c>
      <c r="K4" s="18">
        <f t="shared" si="1"/>
        <v>46334</v>
      </c>
      <c r="L4" s="18">
        <f t="shared" si="1"/>
        <v>46335</v>
      </c>
      <c r="M4" s="18">
        <f t="shared" si="1"/>
        <v>46336</v>
      </c>
      <c r="N4" s="18">
        <f t="shared" si="1"/>
        <v>46337</v>
      </c>
      <c r="O4" s="18">
        <f t="shared" si="1"/>
        <v>46338</v>
      </c>
      <c r="P4" s="18">
        <f t="shared" si="1"/>
        <v>46339</v>
      </c>
      <c r="Q4" s="18">
        <f t="shared" si="1"/>
        <v>46340</v>
      </c>
      <c r="R4" s="18">
        <f t="shared" si="1"/>
        <v>46341</v>
      </c>
      <c r="S4" s="18">
        <f t="shared" si="1"/>
        <v>46342</v>
      </c>
      <c r="T4" s="18">
        <f t="shared" si="1"/>
        <v>46343</v>
      </c>
      <c r="U4" s="18">
        <f t="shared" si="1"/>
        <v>46344</v>
      </c>
      <c r="V4" s="18">
        <f t="shared" si="1"/>
        <v>46345</v>
      </c>
      <c r="W4" s="18">
        <f t="shared" si="1"/>
        <v>46346</v>
      </c>
      <c r="X4" s="18">
        <f t="shared" si="1"/>
        <v>46347</v>
      </c>
      <c r="Y4" s="18">
        <f t="shared" si="1"/>
        <v>46348</v>
      </c>
      <c r="Z4" s="19">
        <f t="shared" si="1"/>
        <v>46349</v>
      </c>
      <c r="AA4" s="18">
        <f t="shared" si="1"/>
        <v>46350</v>
      </c>
      <c r="AB4" s="18">
        <f t="shared" si="1"/>
        <v>46351</v>
      </c>
      <c r="AC4" s="18">
        <f t="shared" si="1"/>
        <v>46352</v>
      </c>
      <c r="AD4" s="18">
        <f t="shared" si="1"/>
        <v>46353</v>
      </c>
      <c r="AE4" s="18">
        <f t="shared" si="1"/>
        <v>46354</v>
      </c>
      <c r="AF4" s="18">
        <f>AF3</f>
        <v>46355</v>
      </c>
      <c r="AG4" s="18">
        <f>AG3</f>
        <v>46356</v>
      </c>
      <c r="AH4" s="157"/>
      <c r="AI4" s="224"/>
      <c r="AJ4" s="225"/>
    </row>
    <row r="5" spans="2:41" ht="41" x14ac:dyDescent="0.2">
      <c r="B5" s="226" t="s">
        <v>75</v>
      </c>
      <c r="C5" s="227"/>
      <c r="D5" s="20" t="s">
        <v>0</v>
      </c>
      <c r="E5" s="21" t="s">
        <v>1</v>
      </c>
      <c r="F5" s="20" t="s">
        <v>1</v>
      </c>
      <c r="G5" s="20" t="s">
        <v>1</v>
      </c>
      <c r="H5" s="20" t="s">
        <v>1</v>
      </c>
      <c r="I5" s="20" t="s">
        <v>1</v>
      </c>
      <c r="J5" s="20" t="s">
        <v>0</v>
      </c>
      <c r="K5" s="23" t="s">
        <v>2</v>
      </c>
      <c r="L5" s="24"/>
      <c r="M5" s="20" t="s">
        <v>1</v>
      </c>
      <c r="N5" s="20" t="s">
        <v>1</v>
      </c>
      <c r="O5" s="20" t="s">
        <v>1</v>
      </c>
      <c r="P5" s="20" t="s">
        <v>299</v>
      </c>
      <c r="Q5" s="20" t="s">
        <v>2</v>
      </c>
      <c r="R5" s="20" t="s">
        <v>1</v>
      </c>
      <c r="S5" s="20"/>
      <c r="T5" s="24" t="s">
        <v>1</v>
      </c>
      <c r="U5" s="20" t="s">
        <v>1</v>
      </c>
      <c r="V5" s="20" t="s">
        <v>3</v>
      </c>
      <c r="W5" s="20" t="s">
        <v>1</v>
      </c>
      <c r="X5" s="20" t="s">
        <v>427</v>
      </c>
      <c r="Y5" s="24"/>
      <c r="Z5" s="24" t="s">
        <v>2</v>
      </c>
      <c r="AA5" s="20" t="s">
        <v>1</v>
      </c>
      <c r="AB5" s="20" t="s">
        <v>0</v>
      </c>
      <c r="AC5" s="24" t="s">
        <v>1</v>
      </c>
      <c r="AD5" s="20" t="s">
        <v>426</v>
      </c>
      <c r="AE5" s="24" t="s">
        <v>1</v>
      </c>
      <c r="AF5" s="20" t="s">
        <v>2</v>
      </c>
      <c r="AG5" s="24" t="s">
        <v>1</v>
      </c>
      <c r="AH5" s="158"/>
      <c r="AI5" s="228" t="s">
        <v>75</v>
      </c>
      <c r="AJ5" s="229"/>
    </row>
    <row r="6" spans="2:41" ht="20.5" x14ac:dyDescent="0.2">
      <c r="B6" s="226"/>
      <c r="C6" s="227"/>
      <c r="D6" s="20"/>
      <c r="E6" s="25"/>
      <c r="F6" s="23"/>
      <c r="G6" s="23"/>
      <c r="H6" s="20"/>
      <c r="I6" s="20"/>
      <c r="J6" s="24"/>
      <c r="K6" s="24"/>
      <c r="L6" s="24"/>
      <c r="M6" s="23"/>
      <c r="N6" s="20"/>
      <c r="O6" s="20"/>
      <c r="P6" s="20"/>
      <c r="Q6" s="24"/>
      <c r="R6" s="23"/>
      <c r="S6" s="24"/>
      <c r="T6" s="25"/>
      <c r="U6" s="20"/>
      <c r="V6" s="20"/>
      <c r="W6" s="20"/>
      <c r="X6" s="20" t="s">
        <v>482</v>
      </c>
      <c r="Y6" s="24"/>
      <c r="Z6" s="24"/>
      <c r="AA6" s="24"/>
      <c r="AB6" s="24"/>
      <c r="AC6" s="24"/>
      <c r="AD6" s="25"/>
      <c r="AE6" s="25"/>
      <c r="AF6" s="23"/>
      <c r="AG6" s="25"/>
      <c r="AH6" s="159"/>
      <c r="AI6" s="228"/>
      <c r="AJ6" s="229"/>
    </row>
    <row r="7" spans="2:41" ht="21" thickBot="1" x14ac:dyDescent="0.25">
      <c r="B7" s="213" t="s">
        <v>76</v>
      </c>
      <c r="C7" s="214"/>
      <c r="D7" s="27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160"/>
      <c r="AI7" s="215" t="s">
        <v>76</v>
      </c>
      <c r="AJ7" s="216"/>
    </row>
    <row r="8" spans="2:41" ht="90" customHeight="1" x14ac:dyDescent="0.2">
      <c r="B8" s="29" t="s">
        <v>354</v>
      </c>
      <c r="C8" s="30"/>
      <c r="D8" s="115" t="s">
        <v>6</v>
      </c>
      <c r="E8" s="115" t="s">
        <v>713</v>
      </c>
      <c r="F8" s="115" t="s">
        <v>5</v>
      </c>
      <c r="G8" s="152" t="s">
        <v>4</v>
      </c>
      <c r="H8" s="115" t="s">
        <v>4</v>
      </c>
      <c r="I8" s="115" t="s">
        <v>714</v>
      </c>
      <c r="J8" s="115" t="s">
        <v>5</v>
      </c>
      <c r="K8" s="115" t="s">
        <v>5</v>
      </c>
      <c r="L8" s="152" t="s">
        <v>4</v>
      </c>
      <c r="M8" s="115" t="s">
        <v>715</v>
      </c>
      <c r="N8" s="115" t="s">
        <v>716</v>
      </c>
      <c r="O8" s="152" t="s">
        <v>4</v>
      </c>
      <c r="P8" s="115" t="s">
        <v>4</v>
      </c>
      <c r="Q8" s="115" t="s">
        <v>8</v>
      </c>
      <c r="R8" s="115" t="s">
        <v>5</v>
      </c>
      <c r="S8" s="208" t="s">
        <v>717</v>
      </c>
      <c r="T8" s="208" t="s">
        <v>717</v>
      </c>
      <c r="U8" s="208" t="s">
        <v>717</v>
      </c>
      <c r="V8" s="208" t="s">
        <v>717</v>
      </c>
      <c r="W8" s="208" t="s">
        <v>717</v>
      </c>
      <c r="X8" s="32" t="s">
        <v>5</v>
      </c>
      <c r="Y8" s="115" t="s">
        <v>8</v>
      </c>
      <c r="Z8" s="115" t="s">
        <v>5</v>
      </c>
      <c r="AA8" s="32" t="s">
        <v>718</v>
      </c>
      <c r="AB8" s="115" t="s">
        <v>716</v>
      </c>
      <c r="AC8" s="152" t="s">
        <v>4</v>
      </c>
      <c r="AD8" s="115" t="s">
        <v>716</v>
      </c>
      <c r="AE8" s="115" t="s">
        <v>5</v>
      </c>
      <c r="AF8" s="115" t="s">
        <v>6</v>
      </c>
      <c r="AG8" s="115" t="s">
        <v>7</v>
      </c>
      <c r="AH8" s="161"/>
      <c r="AI8" s="29" t="s">
        <v>354</v>
      </c>
      <c r="AJ8" s="30"/>
    </row>
    <row r="9" spans="2:41" ht="89.5" customHeight="1" x14ac:dyDescent="0.2">
      <c r="B9" s="41" t="s">
        <v>355</v>
      </c>
      <c r="C9" s="42"/>
      <c r="D9" s="133" t="s">
        <v>5</v>
      </c>
      <c r="E9" s="115" t="s">
        <v>8</v>
      </c>
      <c r="F9" s="115" t="s">
        <v>6</v>
      </c>
      <c r="G9" s="115" t="s">
        <v>7</v>
      </c>
      <c r="H9" s="115" t="s">
        <v>5</v>
      </c>
      <c r="I9" s="115" t="s">
        <v>5</v>
      </c>
      <c r="J9" s="115" t="s">
        <v>6</v>
      </c>
      <c r="K9" s="115" t="s">
        <v>7</v>
      </c>
      <c r="L9" s="115" t="s">
        <v>5</v>
      </c>
      <c r="M9" s="115" t="s">
        <v>8</v>
      </c>
      <c r="N9" s="133" t="s">
        <v>5</v>
      </c>
      <c r="O9" s="133" t="s">
        <v>94</v>
      </c>
      <c r="P9" s="133" t="s">
        <v>94</v>
      </c>
      <c r="Q9" s="133" t="s">
        <v>94</v>
      </c>
      <c r="R9" s="115" t="s">
        <v>719</v>
      </c>
      <c r="S9" s="115" t="s">
        <v>356</v>
      </c>
      <c r="T9" s="115" t="s">
        <v>7</v>
      </c>
      <c r="U9" s="44" t="s">
        <v>8</v>
      </c>
      <c r="V9" s="115" t="s">
        <v>8</v>
      </c>
      <c r="W9" s="152" t="s">
        <v>8</v>
      </c>
      <c r="X9" s="115" t="s">
        <v>6</v>
      </c>
      <c r="Y9" s="115" t="s">
        <v>7</v>
      </c>
      <c r="Z9" s="32" t="s">
        <v>340</v>
      </c>
      <c r="AA9" s="152" t="s">
        <v>8</v>
      </c>
      <c r="AB9" s="209" t="s">
        <v>8</v>
      </c>
      <c r="AC9" s="115" t="s">
        <v>6</v>
      </c>
      <c r="AD9" s="133" t="s">
        <v>720</v>
      </c>
      <c r="AE9" s="133" t="s">
        <v>5</v>
      </c>
      <c r="AF9" s="133" t="s">
        <v>5</v>
      </c>
      <c r="AG9" s="115" t="s">
        <v>6</v>
      </c>
      <c r="AH9" s="161"/>
      <c r="AI9" s="41" t="s">
        <v>355</v>
      </c>
      <c r="AJ9" s="42"/>
    </row>
    <row r="10" spans="2:41" ht="90" customHeight="1" x14ac:dyDescent="0.2">
      <c r="B10" s="41" t="s">
        <v>87</v>
      </c>
      <c r="C10" s="42"/>
      <c r="D10" s="210" t="s">
        <v>721</v>
      </c>
      <c r="E10" s="115" t="s">
        <v>6</v>
      </c>
      <c r="F10" s="115" t="s">
        <v>7</v>
      </c>
      <c r="G10" s="115" t="s">
        <v>5</v>
      </c>
      <c r="H10" s="33" t="s">
        <v>356</v>
      </c>
      <c r="I10" s="33" t="s">
        <v>7</v>
      </c>
      <c r="J10" s="115" t="s">
        <v>5</v>
      </c>
      <c r="K10" s="152" t="s">
        <v>8</v>
      </c>
      <c r="L10" s="115" t="s">
        <v>6</v>
      </c>
      <c r="M10" s="115" t="s">
        <v>7</v>
      </c>
      <c r="N10" s="44" t="s">
        <v>8</v>
      </c>
      <c r="O10" s="133" t="s">
        <v>722</v>
      </c>
      <c r="P10" s="32" t="s">
        <v>6</v>
      </c>
      <c r="Q10" s="115" t="s">
        <v>7</v>
      </c>
      <c r="R10" s="115" t="s">
        <v>6</v>
      </c>
      <c r="S10" s="211" t="s">
        <v>723</v>
      </c>
      <c r="T10" s="210" t="s">
        <v>721</v>
      </c>
      <c r="U10" s="115" t="s">
        <v>6</v>
      </c>
      <c r="V10" s="115" t="s">
        <v>7</v>
      </c>
      <c r="W10" s="115" t="s">
        <v>6</v>
      </c>
      <c r="X10" s="115" t="s">
        <v>7</v>
      </c>
      <c r="Y10" s="115" t="s">
        <v>5</v>
      </c>
      <c r="Z10" s="115" t="s">
        <v>6</v>
      </c>
      <c r="AA10" s="211" t="s">
        <v>723</v>
      </c>
      <c r="AB10" s="210" t="s">
        <v>721</v>
      </c>
      <c r="AC10" s="115" t="s">
        <v>5</v>
      </c>
      <c r="AD10" s="115" t="s">
        <v>356</v>
      </c>
      <c r="AE10" s="115" t="s">
        <v>7</v>
      </c>
      <c r="AF10" s="152" t="s">
        <v>8</v>
      </c>
      <c r="AG10" s="32" t="s">
        <v>340</v>
      </c>
      <c r="AH10" s="162"/>
      <c r="AI10" s="41" t="s">
        <v>87</v>
      </c>
      <c r="AJ10" s="42"/>
    </row>
    <row r="11" spans="2:41" ht="90" customHeight="1" x14ac:dyDescent="0.2">
      <c r="B11" s="41" t="s">
        <v>9</v>
      </c>
      <c r="C11" s="42"/>
      <c r="D11" s="115" t="s">
        <v>7</v>
      </c>
      <c r="E11" s="152" t="s">
        <v>4</v>
      </c>
      <c r="F11" s="115" t="s">
        <v>5</v>
      </c>
      <c r="G11" s="115" t="s">
        <v>6</v>
      </c>
      <c r="H11" s="115" t="s">
        <v>7</v>
      </c>
      <c r="I11" s="152" t="s">
        <v>8</v>
      </c>
      <c r="J11" s="115" t="s">
        <v>8</v>
      </c>
      <c r="K11" s="115" t="s">
        <v>5</v>
      </c>
      <c r="L11" s="115" t="s">
        <v>8</v>
      </c>
      <c r="M11" s="212" t="s">
        <v>644</v>
      </c>
      <c r="N11" s="115" t="s">
        <v>724</v>
      </c>
      <c r="O11" s="115" t="s">
        <v>7</v>
      </c>
      <c r="P11" s="152" t="s">
        <v>8</v>
      </c>
      <c r="Q11" s="115" t="s">
        <v>6</v>
      </c>
      <c r="R11" s="115" t="s">
        <v>7</v>
      </c>
      <c r="S11" s="115" t="s">
        <v>357</v>
      </c>
      <c r="T11" s="115" t="s">
        <v>7</v>
      </c>
      <c r="U11" s="115" t="s">
        <v>4</v>
      </c>
      <c r="V11" s="133" t="s">
        <v>725</v>
      </c>
      <c r="W11" s="115" t="s">
        <v>5</v>
      </c>
      <c r="X11" s="133" t="s">
        <v>726</v>
      </c>
      <c r="Y11" s="115" t="s">
        <v>6</v>
      </c>
      <c r="Z11" s="115" t="s">
        <v>7</v>
      </c>
      <c r="AA11" s="152" t="s">
        <v>4</v>
      </c>
      <c r="AB11" s="32" t="s">
        <v>6</v>
      </c>
      <c r="AC11" s="115" t="s">
        <v>7</v>
      </c>
      <c r="AD11" s="115" t="s">
        <v>5</v>
      </c>
      <c r="AE11" s="115" t="s">
        <v>8</v>
      </c>
      <c r="AF11" s="115" t="s">
        <v>5</v>
      </c>
      <c r="AG11" s="115" t="s">
        <v>8</v>
      </c>
      <c r="AH11" s="161"/>
      <c r="AI11" s="41" t="s">
        <v>9</v>
      </c>
      <c r="AJ11" s="42"/>
    </row>
    <row r="12" spans="2:41" ht="89" customHeight="1" x14ac:dyDescent="0.2">
      <c r="B12" s="41" t="s">
        <v>88</v>
      </c>
      <c r="C12" s="42"/>
      <c r="D12" s="115" t="s">
        <v>8</v>
      </c>
      <c r="E12" s="212" t="s">
        <v>727</v>
      </c>
      <c r="F12" s="133" t="s">
        <v>5</v>
      </c>
      <c r="G12" s="115" t="s">
        <v>8</v>
      </c>
      <c r="H12" s="152" t="s">
        <v>4</v>
      </c>
      <c r="I12" s="115" t="s">
        <v>4</v>
      </c>
      <c r="J12" s="133" t="s">
        <v>5</v>
      </c>
      <c r="K12" s="133" t="s">
        <v>728</v>
      </c>
      <c r="L12" s="115" t="s">
        <v>7</v>
      </c>
      <c r="M12" s="133" t="s">
        <v>728</v>
      </c>
      <c r="N12" s="115" t="s">
        <v>7</v>
      </c>
      <c r="O12" s="32" t="s">
        <v>8</v>
      </c>
      <c r="P12" s="152" t="s">
        <v>4</v>
      </c>
      <c r="Q12" s="212" t="s">
        <v>729</v>
      </c>
      <c r="R12" s="115" t="s">
        <v>7</v>
      </c>
      <c r="S12" s="133" t="s">
        <v>5</v>
      </c>
      <c r="T12" s="133" t="s">
        <v>728</v>
      </c>
      <c r="U12" s="115" t="s">
        <v>7</v>
      </c>
      <c r="V12" s="152" t="s">
        <v>4</v>
      </c>
      <c r="W12" s="115" t="s">
        <v>4</v>
      </c>
      <c r="X12" s="133" t="s">
        <v>5</v>
      </c>
      <c r="Y12" s="133" t="s">
        <v>5</v>
      </c>
      <c r="Z12" s="152" t="s">
        <v>8</v>
      </c>
      <c r="AA12" s="133" t="s">
        <v>728</v>
      </c>
      <c r="AB12" s="115" t="s">
        <v>7</v>
      </c>
      <c r="AC12" s="115" t="s">
        <v>8</v>
      </c>
      <c r="AD12" s="115" t="s">
        <v>4</v>
      </c>
      <c r="AE12" s="115" t="s">
        <v>4</v>
      </c>
      <c r="AF12" s="133" t="s">
        <v>5</v>
      </c>
      <c r="AG12" s="152" t="s">
        <v>4</v>
      </c>
      <c r="AH12" s="161"/>
      <c r="AI12" s="41" t="s">
        <v>88</v>
      </c>
      <c r="AJ12" s="42"/>
    </row>
    <row r="13" spans="2:41" ht="90" customHeight="1" x14ac:dyDescent="0.2">
      <c r="B13" s="41" t="s">
        <v>89</v>
      </c>
      <c r="C13" s="42"/>
      <c r="D13" s="115" t="s">
        <v>7</v>
      </c>
      <c r="E13" s="115" t="s">
        <v>5</v>
      </c>
      <c r="F13" s="115" t="s">
        <v>8</v>
      </c>
      <c r="G13" s="133" t="s">
        <v>730</v>
      </c>
      <c r="H13" s="115" t="s">
        <v>5</v>
      </c>
      <c r="I13" s="115" t="s">
        <v>6</v>
      </c>
      <c r="J13" s="115" t="s">
        <v>7</v>
      </c>
      <c r="K13" s="115" t="s">
        <v>10</v>
      </c>
      <c r="L13" s="115" t="s">
        <v>7</v>
      </c>
      <c r="M13" s="115" t="s">
        <v>4</v>
      </c>
      <c r="N13" s="152" t="s">
        <v>4</v>
      </c>
      <c r="O13" s="115" t="s">
        <v>556</v>
      </c>
      <c r="P13" s="115" t="s">
        <v>7</v>
      </c>
      <c r="Q13" s="115" t="s">
        <v>731</v>
      </c>
      <c r="R13" s="152" t="s">
        <v>4</v>
      </c>
      <c r="S13" s="115" t="s">
        <v>4</v>
      </c>
      <c r="T13" s="152" t="s">
        <v>732</v>
      </c>
      <c r="U13" s="115" t="s">
        <v>5</v>
      </c>
      <c r="V13" s="115" t="s">
        <v>6</v>
      </c>
      <c r="W13" s="115" t="s">
        <v>7</v>
      </c>
      <c r="X13" s="115" t="s">
        <v>8</v>
      </c>
      <c r="Y13" s="133" t="s">
        <v>5</v>
      </c>
      <c r="Z13" s="133" t="s">
        <v>5</v>
      </c>
      <c r="AA13" s="32" t="s">
        <v>340</v>
      </c>
      <c r="AB13" s="115" t="s">
        <v>357</v>
      </c>
      <c r="AC13" s="115" t="s">
        <v>7</v>
      </c>
      <c r="AD13" s="32" t="s">
        <v>5</v>
      </c>
      <c r="AE13" s="115" t="s">
        <v>6</v>
      </c>
      <c r="AF13" s="115" t="s">
        <v>7</v>
      </c>
      <c r="AG13" s="115" t="s">
        <v>5</v>
      </c>
      <c r="AH13" s="161"/>
      <c r="AI13" s="41" t="s">
        <v>89</v>
      </c>
      <c r="AJ13" s="42"/>
    </row>
    <row r="14" spans="2:41" ht="90" customHeight="1" x14ac:dyDescent="0.2">
      <c r="B14" s="41" t="s">
        <v>90</v>
      </c>
      <c r="C14" s="42"/>
      <c r="D14" s="133" t="s">
        <v>5</v>
      </c>
      <c r="E14" s="115" t="s">
        <v>357</v>
      </c>
      <c r="F14" s="115" t="s">
        <v>7</v>
      </c>
      <c r="G14" s="32" t="s">
        <v>567</v>
      </c>
      <c r="H14" s="115" t="s">
        <v>10</v>
      </c>
      <c r="I14" s="115" t="s">
        <v>7</v>
      </c>
      <c r="J14" s="152" t="s">
        <v>4</v>
      </c>
      <c r="K14" s="115" t="s">
        <v>4</v>
      </c>
      <c r="L14" s="115" t="s">
        <v>4</v>
      </c>
      <c r="M14" s="115" t="s">
        <v>733</v>
      </c>
      <c r="N14" s="115" t="s">
        <v>10</v>
      </c>
      <c r="O14" s="115" t="s">
        <v>7</v>
      </c>
      <c r="P14" s="115" t="s">
        <v>734</v>
      </c>
      <c r="Q14" s="133" t="s">
        <v>7</v>
      </c>
      <c r="R14" s="133" t="s">
        <v>5</v>
      </c>
      <c r="S14" s="133" t="s">
        <v>5</v>
      </c>
      <c r="T14" s="32" t="s">
        <v>4</v>
      </c>
      <c r="U14" s="32" t="s">
        <v>10</v>
      </c>
      <c r="V14" s="115" t="s">
        <v>7</v>
      </c>
      <c r="W14" s="152" t="s">
        <v>4</v>
      </c>
      <c r="X14" s="115" t="s">
        <v>5</v>
      </c>
      <c r="Y14" s="115" t="s">
        <v>357</v>
      </c>
      <c r="Z14" s="115" t="s">
        <v>7</v>
      </c>
      <c r="AA14" s="115" t="s">
        <v>5</v>
      </c>
      <c r="AB14" s="115" t="s">
        <v>4</v>
      </c>
      <c r="AC14" s="115" t="s">
        <v>357</v>
      </c>
      <c r="AD14" s="133" t="s">
        <v>735</v>
      </c>
      <c r="AE14" s="133" t="s">
        <v>5</v>
      </c>
      <c r="AF14" s="133" t="s">
        <v>736</v>
      </c>
      <c r="AG14" s="152" t="s">
        <v>4</v>
      </c>
      <c r="AH14" s="161"/>
      <c r="AI14" s="41" t="s">
        <v>90</v>
      </c>
      <c r="AJ14" s="42"/>
    </row>
    <row r="15" spans="2:41" ht="74" customHeight="1" x14ac:dyDescent="0.2">
      <c r="B15" s="41" t="s">
        <v>92</v>
      </c>
      <c r="C15" s="42"/>
      <c r="D15" s="115" t="s">
        <v>4</v>
      </c>
      <c r="E15" s="133" t="s">
        <v>5</v>
      </c>
      <c r="F15" s="133" t="s">
        <v>5</v>
      </c>
      <c r="G15" s="133" t="s">
        <v>5</v>
      </c>
      <c r="H15" s="152" t="s">
        <v>4</v>
      </c>
      <c r="I15" s="115" t="s">
        <v>4</v>
      </c>
      <c r="J15" s="133" t="s">
        <v>737</v>
      </c>
      <c r="K15" s="115" t="s">
        <v>5</v>
      </c>
      <c r="L15" s="115" t="s">
        <v>357</v>
      </c>
      <c r="M15" s="115" t="s">
        <v>7</v>
      </c>
      <c r="N15" s="115" t="s">
        <v>4</v>
      </c>
      <c r="O15" s="152" t="s">
        <v>4</v>
      </c>
      <c r="P15" s="115" t="s">
        <v>357</v>
      </c>
      <c r="Q15" s="133" t="s">
        <v>720</v>
      </c>
      <c r="R15" s="115" t="s">
        <v>10</v>
      </c>
      <c r="S15" s="115" t="s">
        <v>7</v>
      </c>
      <c r="T15" s="152" t="s">
        <v>4</v>
      </c>
      <c r="U15" s="115" t="s">
        <v>5</v>
      </c>
      <c r="V15" s="115" t="s">
        <v>10</v>
      </c>
      <c r="W15" s="115" t="s">
        <v>7</v>
      </c>
      <c r="X15" s="115" t="s">
        <v>357</v>
      </c>
      <c r="Y15" s="115" t="s">
        <v>7</v>
      </c>
      <c r="Z15" s="115" t="s">
        <v>10</v>
      </c>
      <c r="AA15" s="115" t="s">
        <v>7</v>
      </c>
      <c r="AB15" s="115" t="s">
        <v>5</v>
      </c>
      <c r="AC15" s="115" t="s">
        <v>5</v>
      </c>
      <c r="AD15" s="115" t="s">
        <v>10</v>
      </c>
      <c r="AE15" s="115" t="s">
        <v>7</v>
      </c>
      <c r="AF15" s="115" t="s">
        <v>10</v>
      </c>
      <c r="AG15" s="115" t="s">
        <v>7</v>
      </c>
      <c r="AH15" s="161"/>
      <c r="AI15" s="41" t="s">
        <v>92</v>
      </c>
      <c r="AJ15" s="42"/>
    </row>
    <row r="16" spans="2:41" ht="59" customHeight="1" x14ac:dyDescent="0.2">
      <c r="B16" s="41" t="s">
        <v>11</v>
      </c>
      <c r="C16" s="42"/>
      <c r="D16" s="115" t="s">
        <v>10</v>
      </c>
      <c r="E16" s="115" t="s">
        <v>7</v>
      </c>
      <c r="F16" s="152" t="s">
        <v>4</v>
      </c>
      <c r="G16" s="115" t="s">
        <v>357</v>
      </c>
      <c r="H16" s="115" t="s">
        <v>7</v>
      </c>
      <c r="I16" s="115" t="s">
        <v>5</v>
      </c>
      <c r="J16" s="115" t="s">
        <v>10</v>
      </c>
      <c r="K16" s="115" t="s">
        <v>7</v>
      </c>
      <c r="L16" s="115" t="s">
        <v>5</v>
      </c>
      <c r="M16" s="115" t="s">
        <v>357</v>
      </c>
      <c r="N16" s="115" t="s">
        <v>7</v>
      </c>
      <c r="O16" s="115" t="s">
        <v>10</v>
      </c>
      <c r="P16" s="115" t="s">
        <v>7</v>
      </c>
      <c r="Q16" s="115" t="s">
        <v>4</v>
      </c>
      <c r="R16" s="133" t="s">
        <v>5</v>
      </c>
      <c r="S16" s="133" t="s">
        <v>5</v>
      </c>
      <c r="T16" s="133" t="s">
        <v>5</v>
      </c>
      <c r="U16" s="115" t="s">
        <v>4</v>
      </c>
      <c r="V16" s="152" t="s">
        <v>4</v>
      </c>
      <c r="W16" s="115" t="s">
        <v>10</v>
      </c>
      <c r="X16" s="115" t="s">
        <v>7</v>
      </c>
      <c r="Y16" s="133" t="s">
        <v>5</v>
      </c>
      <c r="Z16" s="115" t="s">
        <v>4</v>
      </c>
      <c r="AA16" s="115" t="s">
        <v>4</v>
      </c>
      <c r="AB16" s="115" t="s">
        <v>5</v>
      </c>
      <c r="AC16" s="152" t="s">
        <v>4</v>
      </c>
      <c r="AD16" s="152" t="s">
        <v>4</v>
      </c>
      <c r="AE16" s="115" t="s">
        <v>10</v>
      </c>
      <c r="AF16" s="115" t="s">
        <v>7</v>
      </c>
      <c r="AG16" s="115" t="s">
        <v>10</v>
      </c>
      <c r="AH16" s="163"/>
      <c r="AI16" s="41" t="s">
        <v>11</v>
      </c>
      <c r="AJ16" s="42"/>
    </row>
    <row r="17" spans="2:36" ht="60" customHeight="1" x14ac:dyDescent="0.3">
      <c r="B17" s="41" t="s">
        <v>93</v>
      </c>
      <c r="C17" s="42"/>
      <c r="D17" s="153"/>
      <c r="E17" s="153"/>
      <c r="F17" s="120" t="s">
        <v>445</v>
      </c>
      <c r="G17" s="120" t="s">
        <v>7</v>
      </c>
      <c r="H17" s="153"/>
      <c r="I17" s="120" t="s">
        <v>445</v>
      </c>
      <c r="J17" s="120" t="s">
        <v>7</v>
      </c>
      <c r="K17" s="115"/>
      <c r="L17" s="153"/>
      <c r="M17" s="153"/>
      <c r="N17" s="153"/>
      <c r="O17" s="115"/>
      <c r="P17" s="115"/>
      <c r="Q17" s="115"/>
      <c r="R17" s="115"/>
      <c r="S17" s="115"/>
      <c r="T17" s="120" t="s">
        <v>446</v>
      </c>
      <c r="U17" s="120" t="s">
        <v>7</v>
      </c>
      <c r="V17" s="153"/>
      <c r="W17" s="115"/>
      <c r="X17" s="115"/>
      <c r="Y17" s="115"/>
      <c r="Z17" s="115"/>
      <c r="AA17" s="120" t="s">
        <v>446</v>
      </c>
      <c r="AB17" s="120" t="s">
        <v>7</v>
      </c>
      <c r="AC17" s="154"/>
      <c r="AD17" s="153"/>
      <c r="AE17" s="153"/>
      <c r="AF17" s="153"/>
      <c r="AG17" s="153"/>
      <c r="AH17" s="165"/>
      <c r="AI17" s="41" t="s">
        <v>93</v>
      </c>
      <c r="AJ17" s="42"/>
    </row>
    <row r="18" spans="2:36" ht="68" hidden="1" customHeight="1" x14ac:dyDescent="0.3">
      <c r="B18" s="41"/>
      <c r="C18" s="42"/>
      <c r="D18" s="135"/>
      <c r="E18" s="135"/>
      <c r="F18" s="120"/>
      <c r="G18" s="120"/>
      <c r="H18" s="135"/>
      <c r="I18" s="135"/>
      <c r="J18" s="120"/>
      <c r="K18" s="120"/>
      <c r="L18" s="135"/>
      <c r="M18" s="135"/>
      <c r="N18" s="135"/>
      <c r="O18" s="135"/>
      <c r="P18" s="120"/>
      <c r="Q18" s="120"/>
      <c r="R18" s="120"/>
      <c r="S18" s="82"/>
      <c r="T18" s="120"/>
      <c r="U18" s="135"/>
      <c r="V18" s="135"/>
      <c r="W18" s="120"/>
      <c r="X18" s="120"/>
      <c r="Y18" s="135"/>
      <c r="Z18" s="135"/>
      <c r="AA18" s="135"/>
      <c r="AB18" s="135"/>
      <c r="AC18" s="136"/>
      <c r="AD18" s="135"/>
      <c r="AE18" s="135"/>
      <c r="AF18" s="135"/>
      <c r="AG18" s="135"/>
      <c r="AH18" s="165"/>
      <c r="AI18" s="41"/>
      <c r="AJ18" s="42"/>
    </row>
    <row r="19" spans="2:36" ht="60" customHeight="1" thickBot="1" x14ac:dyDescent="0.25">
      <c r="B19" s="41" t="s">
        <v>639</v>
      </c>
      <c r="C19" s="42"/>
      <c r="D19" s="36" t="s">
        <v>640</v>
      </c>
      <c r="E19" s="107" t="s">
        <v>4</v>
      </c>
      <c r="F19" s="107" t="s">
        <v>641</v>
      </c>
      <c r="G19" s="107" t="s">
        <v>642</v>
      </c>
      <c r="H19" s="155" t="s">
        <v>4</v>
      </c>
      <c r="I19" s="107" t="s">
        <v>4</v>
      </c>
      <c r="J19" s="36" t="s">
        <v>4</v>
      </c>
      <c r="K19" s="36" t="s">
        <v>640</v>
      </c>
      <c r="L19" s="107" t="s">
        <v>4</v>
      </c>
      <c r="M19" s="155" t="s">
        <v>4</v>
      </c>
      <c r="N19" s="36" t="s">
        <v>640</v>
      </c>
      <c r="O19" s="36" t="s">
        <v>640</v>
      </c>
      <c r="P19" s="36" t="s">
        <v>4</v>
      </c>
      <c r="Q19" s="108" t="s">
        <v>4</v>
      </c>
      <c r="R19" s="36" t="s">
        <v>640</v>
      </c>
      <c r="S19" s="107" t="s">
        <v>49</v>
      </c>
      <c r="T19" s="107" t="s">
        <v>4</v>
      </c>
      <c r="U19" s="108" t="s">
        <v>555</v>
      </c>
      <c r="V19" s="36" t="s">
        <v>642</v>
      </c>
      <c r="W19" s="36" t="s">
        <v>4</v>
      </c>
      <c r="X19" s="107" t="s">
        <v>4</v>
      </c>
      <c r="Y19" s="107" t="s">
        <v>640</v>
      </c>
      <c r="Z19" s="107" t="s">
        <v>643</v>
      </c>
      <c r="AA19" s="107" t="s">
        <v>4</v>
      </c>
      <c r="AB19" s="107" t="s">
        <v>640</v>
      </c>
      <c r="AC19" s="36" t="s">
        <v>4</v>
      </c>
      <c r="AD19" s="36" t="s">
        <v>4</v>
      </c>
      <c r="AE19" s="36" t="s">
        <v>640</v>
      </c>
      <c r="AF19" s="36" t="s">
        <v>640</v>
      </c>
      <c r="AG19" s="107" t="s">
        <v>4</v>
      </c>
      <c r="AH19" s="166"/>
      <c r="AI19" s="41" t="s">
        <v>639</v>
      </c>
      <c r="AJ19" s="42"/>
    </row>
    <row r="20" spans="2:36" ht="18.5" x14ac:dyDescent="0.2">
      <c r="B20" s="230" t="s">
        <v>77</v>
      </c>
      <c r="C20" s="233" t="s">
        <v>78</v>
      </c>
      <c r="D20" s="52" t="s">
        <v>142</v>
      </c>
      <c r="E20" s="54"/>
      <c r="F20" s="53" t="s">
        <v>130</v>
      </c>
      <c r="G20" s="54"/>
      <c r="H20" s="54"/>
      <c r="I20" s="54"/>
      <c r="J20" s="54" t="s">
        <v>158</v>
      </c>
      <c r="K20" s="54" t="s">
        <v>183</v>
      </c>
      <c r="L20" s="54"/>
      <c r="M20" s="54"/>
      <c r="N20" s="54"/>
      <c r="O20" s="54"/>
      <c r="P20" s="54"/>
      <c r="Q20" s="54" t="s">
        <v>170</v>
      </c>
      <c r="R20" s="54" t="s">
        <v>142</v>
      </c>
      <c r="S20" s="52"/>
      <c r="T20" s="54"/>
      <c r="U20" s="54"/>
      <c r="V20" s="54"/>
      <c r="W20" s="54"/>
      <c r="X20" s="52" t="s">
        <v>121</v>
      </c>
      <c r="Y20" s="54" t="s">
        <v>111</v>
      </c>
      <c r="Z20" s="53" t="s">
        <v>183</v>
      </c>
      <c r="AA20" s="54"/>
      <c r="AB20" s="54"/>
      <c r="AC20" s="54"/>
      <c r="AD20" s="54"/>
      <c r="AE20" s="54" t="s">
        <v>170</v>
      </c>
      <c r="AF20" s="54" t="s">
        <v>158</v>
      </c>
      <c r="AG20" s="54"/>
      <c r="AH20" s="167"/>
      <c r="AI20" s="235" t="s">
        <v>78</v>
      </c>
      <c r="AJ20" s="237" t="s">
        <v>77</v>
      </c>
    </row>
    <row r="21" spans="2:36" ht="18.5" x14ac:dyDescent="0.2">
      <c r="B21" s="231"/>
      <c r="C21" s="234"/>
      <c r="D21" s="55" t="s">
        <v>1</v>
      </c>
      <c r="E21" s="57" t="s">
        <v>1</v>
      </c>
      <c r="F21" s="56" t="s">
        <v>1</v>
      </c>
      <c r="G21" s="57" t="s">
        <v>1</v>
      </c>
      <c r="H21" s="57" t="s">
        <v>1</v>
      </c>
      <c r="I21" s="57" t="s">
        <v>1</v>
      </c>
      <c r="J21" s="55" t="s">
        <v>1</v>
      </c>
      <c r="K21" s="55" t="s">
        <v>1</v>
      </c>
      <c r="L21" s="57" t="s">
        <v>1</v>
      </c>
      <c r="M21" s="57" t="s">
        <v>1</v>
      </c>
      <c r="N21" s="57" t="s">
        <v>1</v>
      </c>
      <c r="O21" s="57" t="s">
        <v>1</v>
      </c>
      <c r="P21" s="55" t="s">
        <v>1</v>
      </c>
      <c r="Q21" s="55" t="s">
        <v>1</v>
      </c>
      <c r="R21" s="57" t="s">
        <v>1</v>
      </c>
      <c r="S21" s="57" t="s">
        <v>1</v>
      </c>
      <c r="T21" s="57" t="s">
        <v>1</v>
      </c>
      <c r="U21" s="57" t="s">
        <v>1</v>
      </c>
      <c r="V21" s="57" t="s">
        <v>1</v>
      </c>
      <c r="W21" s="57" t="s">
        <v>1</v>
      </c>
      <c r="X21" s="57" t="s">
        <v>1</v>
      </c>
      <c r="Y21" s="57" t="s">
        <v>1</v>
      </c>
      <c r="Z21" s="56" t="s">
        <v>1</v>
      </c>
      <c r="AA21" s="57" t="s">
        <v>1</v>
      </c>
      <c r="AB21" s="57" t="s">
        <v>1</v>
      </c>
      <c r="AC21" s="57" t="s">
        <v>1</v>
      </c>
      <c r="AD21" s="57" t="s">
        <v>1</v>
      </c>
      <c r="AE21" s="57" t="s">
        <v>1</v>
      </c>
      <c r="AF21" s="57" t="s">
        <v>1</v>
      </c>
      <c r="AG21" s="57" t="s">
        <v>1</v>
      </c>
      <c r="AH21" s="168"/>
      <c r="AI21" s="236"/>
      <c r="AJ21" s="238"/>
    </row>
    <row r="22" spans="2:36" ht="18.5" x14ac:dyDescent="0.2">
      <c r="B22" s="231"/>
      <c r="C22" s="240" t="s">
        <v>79</v>
      </c>
      <c r="D22" s="58" t="s">
        <v>142</v>
      </c>
      <c r="E22" s="109" t="s">
        <v>183</v>
      </c>
      <c r="F22" s="109" t="s">
        <v>130</v>
      </c>
      <c r="G22" s="109" t="s">
        <v>121</v>
      </c>
      <c r="H22" s="109" t="s">
        <v>263</v>
      </c>
      <c r="I22" s="109" t="s">
        <v>170</v>
      </c>
      <c r="J22" s="58" t="s">
        <v>158</v>
      </c>
      <c r="K22" s="58" t="s">
        <v>183</v>
      </c>
      <c r="L22" s="109" t="s">
        <v>142</v>
      </c>
      <c r="M22" s="109" t="s">
        <v>111</v>
      </c>
      <c r="N22" s="109" t="s">
        <v>158</v>
      </c>
      <c r="O22" s="109" t="s">
        <v>264</v>
      </c>
      <c r="P22" s="58" t="s">
        <v>121</v>
      </c>
      <c r="Q22" s="58" t="s">
        <v>170</v>
      </c>
      <c r="R22" s="109" t="s">
        <v>142</v>
      </c>
      <c r="S22" s="109" t="s">
        <v>158</v>
      </c>
      <c r="T22" s="109" t="s">
        <v>111</v>
      </c>
      <c r="U22" s="109" t="s">
        <v>121</v>
      </c>
      <c r="V22" s="109" t="s">
        <v>263</v>
      </c>
      <c r="W22" s="109" t="s">
        <v>142</v>
      </c>
      <c r="X22" s="109" t="s">
        <v>121</v>
      </c>
      <c r="Y22" s="109" t="s">
        <v>111</v>
      </c>
      <c r="Z22" s="109" t="s">
        <v>183</v>
      </c>
      <c r="AA22" s="109" t="s">
        <v>142</v>
      </c>
      <c r="AB22" s="109" t="s">
        <v>121</v>
      </c>
      <c r="AC22" s="109" t="s">
        <v>264</v>
      </c>
      <c r="AD22" s="109" t="s">
        <v>183</v>
      </c>
      <c r="AE22" s="109" t="s">
        <v>170</v>
      </c>
      <c r="AF22" s="109" t="s">
        <v>158</v>
      </c>
      <c r="AG22" s="109" t="s">
        <v>111</v>
      </c>
      <c r="AH22" s="169"/>
      <c r="AI22" s="242" t="s">
        <v>79</v>
      </c>
      <c r="AJ22" s="238"/>
    </row>
    <row r="23" spans="2:36" ht="19" thickBot="1" x14ac:dyDescent="0.25">
      <c r="B23" s="232"/>
      <c r="C23" s="241"/>
      <c r="D23" s="59" t="s">
        <v>1</v>
      </c>
      <c r="E23" s="110" t="s">
        <v>1</v>
      </c>
      <c r="F23" s="110" t="s">
        <v>1</v>
      </c>
      <c r="G23" s="110" t="s">
        <v>1</v>
      </c>
      <c r="H23" s="110" t="s">
        <v>1</v>
      </c>
      <c r="I23" s="110" t="s">
        <v>1</v>
      </c>
      <c r="J23" s="59" t="s">
        <v>1</v>
      </c>
      <c r="K23" s="59" t="s">
        <v>1</v>
      </c>
      <c r="L23" s="110" t="s">
        <v>1</v>
      </c>
      <c r="M23" s="110" t="s">
        <v>1</v>
      </c>
      <c r="N23" s="110" t="s">
        <v>1</v>
      </c>
      <c r="O23" s="110" t="s">
        <v>1</v>
      </c>
      <c r="P23" s="59" t="s">
        <v>1</v>
      </c>
      <c r="Q23" s="59" t="s">
        <v>1</v>
      </c>
      <c r="R23" s="110" t="s">
        <v>1</v>
      </c>
      <c r="S23" s="110" t="s">
        <v>1</v>
      </c>
      <c r="T23" s="110" t="s">
        <v>1</v>
      </c>
      <c r="U23" s="110" t="s">
        <v>1</v>
      </c>
      <c r="V23" s="110" t="s">
        <v>1</v>
      </c>
      <c r="W23" s="110" t="s">
        <v>1</v>
      </c>
      <c r="X23" s="110" t="s">
        <v>1</v>
      </c>
      <c r="Y23" s="110" t="s">
        <v>1</v>
      </c>
      <c r="Z23" s="110" t="s">
        <v>1</v>
      </c>
      <c r="AA23" s="110" t="s">
        <v>1</v>
      </c>
      <c r="AB23" s="110" t="s">
        <v>1</v>
      </c>
      <c r="AC23" s="110" t="s">
        <v>1</v>
      </c>
      <c r="AD23" s="110" t="s">
        <v>1</v>
      </c>
      <c r="AE23" s="110" t="s">
        <v>1</v>
      </c>
      <c r="AF23" s="110" t="s">
        <v>1</v>
      </c>
      <c r="AG23" s="110" t="s">
        <v>1</v>
      </c>
      <c r="AH23" s="170"/>
      <c r="AI23" s="243"/>
      <c r="AJ23" s="239"/>
    </row>
    <row r="24" spans="2:36" ht="18.5" x14ac:dyDescent="0.2">
      <c r="B24" s="230" t="s">
        <v>80</v>
      </c>
      <c r="C24" s="233" t="s">
        <v>78</v>
      </c>
      <c r="D24" s="60" t="s">
        <v>16</v>
      </c>
      <c r="E24" s="54"/>
      <c r="F24" s="53" t="s">
        <v>17</v>
      </c>
      <c r="G24" s="54"/>
      <c r="H24" s="54"/>
      <c r="I24" s="54"/>
      <c r="J24" s="54" t="s">
        <v>18</v>
      </c>
      <c r="K24" s="54" t="s">
        <v>18</v>
      </c>
      <c r="L24" s="54"/>
      <c r="M24" s="54"/>
      <c r="N24" s="54"/>
      <c r="O24" s="54"/>
      <c r="P24" s="54"/>
      <c r="Q24" s="54" t="s">
        <v>15</v>
      </c>
      <c r="R24" s="54" t="s">
        <v>16</v>
      </c>
      <c r="S24" s="52"/>
      <c r="T24" s="54"/>
      <c r="U24" s="54"/>
      <c r="V24" s="54"/>
      <c r="W24" s="54"/>
      <c r="X24" s="52" t="s">
        <v>16</v>
      </c>
      <c r="Y24" s="54" t="s">
        <v>15</v>
      </c>
      <c r="Z24" s="53" t="s">
        <v>15</v>
      </c>
      <c r="AA24" s="54"/>
      <c r="AB24" s="54"/>
      <c r="AC24" s="54"/>
      <c r="AD24" s="54"/>
      <c r="AE24" s="54" t="s">
        <v>17</v>
      </c>
      <c r="AF24" s="54" t="s">
        <v>18</v>
      </c>
      <c r="AG24" s="54"/>
      <c r="AH24" s="167"/>
      <c r="AI24" s="235" t="s">
        <v>78</v>
      </c>
      <c r="AJ24" s="237" t="s">
        <v>80</v>
      </c>
    </row>
    <row r="25" spans="2:36" ht="18.5" x14ac:dyDescent="0.2">
      <c r="B25" s="231"/>
      <c r="C25" s="234"/>
      <c r="D25" s="55"/>
      <c r="E25" s="57"/>
      <c r="F25" s="56"/>
      <c r="G25" s="57"/>
      <c r="H25" s="57"/>
      <c r="I25" s="57"/>
      <c r="J25" s="55"/>
      <c r="K25" s="55"/>
      <c r="L25" s="57"/>
      <c r="M25" s="57"/>
      <c r="N25" s="57"/>
      <c r="O25" s="57"/>
      <c r="P25" s="55"/>
      <c r="Q25" s="55"/>
      <c r="R25" s="57"/>
      <c r="S25" s="57"/>
      <c r="T25" s="57"/>
      <c r="U25" s="55"/>
      <c r="V25" s="57"/>
      <c r="W25" s="57"/>
      <c r="X25" s="57"/>
      <c r="Y25" s="57"/>
      <c r="Z25" s="56"/>
      <c r="AA25" s="57"/>
      <c r="AB25" s="57"/>
      <c r="AC25" s="55"/>
      <c r="AD25" s="57"/>
      <c r="AE25" s="57"/>
      <c r="AF25" s="57"/>
      <c r="AG25" s="57"/>
      <c r="AH25" s="168"/>
      <c r="AI25" s="236"/>
      <c r="AJ25" s="238"/>
    </row>
    <row r="26" spans="2:36" ht="18.5" x14ac:dyDescent="0.2">
      <c r="B26" s="231"/>
      <c r="C26" s="240" t="s">
        <v>79</v>
      </c>
      <c r="D26" s="60" t="s">
        <v>19</v>
      </c>
      <c r="E26" s="62" t="s">
        <v>15</v>
      </c>
      <c r="F26" s="62" t="s">
        <v>17</v>
      </c>
      <c r="G26" s="62" t="s">
        <v>18</v>
      </c>
      <c r="H26" s="62" t="s">
        <v>15</v>
      </c>
      <c r="I26" s="62" t="s">
        <v>16</v>
      </c>
      <c r="J26" s="60" t="s">
        <v>18</v>
      </c>
      <c r="K26" s="60" t="s">
        <v>19</v>
      </c>
      <c r="L26" s="62" t="s">
        <v>16</v>
      </c>
      <c r="M26" s="62" t="s">
        <v>18</v>
      </c>
      <c r="N26" s="62" t="s">
        <v>17</v>
      </c>
      <c r="O26" s="62" t="s">
        <v>16</v>
      </c>
      <c r="P26" s="60" t="s">
        <v>18</v>
      </c>
      <c r="Q26" s="60" t="s">
        <v>15</v>
      </c>
      <c r="R26" s="62" t="s">
        <v>19</v>
      </c>
      <c r="S26" s="62" t="s">
        <v>17</v>
      </c>
      <c r="T26" s="62" t="s">
        <v>15</v>
      </c>
      <c r="U26" s="62" t="s">
        <v>17</v>
      </c>
      <c r="V26" s="62" t="s">
        <v>16</v>
      </c>
      <c r="W26" s="62" t="s">
        <v>17</v>
      </c>
      <c r="X26" s="62" t="s">
        <v>16</v>
      </c>
      <c r="Y26" s="62" t="s">
        <v>19</v>
      </c>
      <c r="Z26" s="62" t="s">
        <v>15</v>
      </c>
      <c r="AA26" s="62" t="s">
        <v>17</v>
      </c>
      <c r="AB26" s="62" t="s">
        <v>18</v>
      </c>
      <c r="AC26" s="62" t="s">
        <v>16</v>
      </c>
      <c r="AD26" s="62" t="s">
        <v>15</v>
      </c>
      <c r="AE26" s="62" t="s">
        <v>17</v>
      </c>
      <c r="AF26" s="62" t="s">
        <v>19</v>
      </c>
      <c r="AG26" s="62" t="s">
        <v>18</v>
      </c>
      <c r="AH26" s="171"/>
      <c r="AI26" s="242" t="s">
        <v>79</v>
      </c>
      <c r="AJ26" s="238"/>
    </row>
    <row r="27" spans="2:36" ht="19" thickBot="1" x14ac:dyDescent="0.25">
      <c r="B27" s="232"/>
      <c r="C27" s="241"/>
      <c r="D27" s="59"/>
      <c r="E27" s="110"/>
      <c r="F27" s="110"/>
      <c r="G27" s="110" t="s">
        <v>20</v>
      </c>
      <c r="H27" s="110" t="s">
        <v>20</v>
      </c>
      <c r="I27" s="110"/>
      <c r="J27" s="59"/>
      <c r="K27" s="59"/>
      <c r="L27" s="110"/>
      <c r="M27" s="110" t="s">
        <v>20</v>
      </c>
      <c r="N27" s="110" t="s">
        <v>20</v>
      </c>
      <c r="O27" s="110" t="s">
        <v>20</v>
      </c>
      <c r="P27" s="59"/>
      <c r="Q27" s="59"/>
      <c r="R27" s="110"/>
      <c r="S27" s="110"/>
      <c r="T27" s="110" t="s">
        <v>20</v>
      </c>
      <c r="U27" s="110" t="s">
        <v>20</v>
      </c>
      <c r="V27" s="110"/>
      <c r="W27" s="110"/>
      <c r="X27" s="110"/>
      <c r="Y27" s="110"/>
      <c r="Z27" s="110"/>
      <c r="AA27" s="110" t="s">
        <v>20</v>
      </c>
      <c r="AB27" s="110" t="s">
        <v>20</v>
      </c>
      <c r="AC27" s="110" t="s">
        <v>20</v>
      </c>
      <c r="AD27" s="110"/>
      <c r="AE27" s="110"/>
      <c r="AF27" s="110"/>
      <c r="AG27" s="110"/>
      <c r="AH27" s="170"/>
      <c r="AI27" s="243"/>
      <c r="AJ27" s="239"/>
    </row>
    <row r="28" spans="2:36" ht="23.5" customHeight="1" x14ac:dyDescent="0.2">
      <c r="B28" s="244" t="s">
        <v>81</v>
      </c>
      <c r="C28" s="233" t="s">
        <v>82</v>
      </c>
      <c r="D28" s="62" t="s">
        <v>269</v>
      </c>
      <c r="E28" s="62"/>
      <c r="F28" s="53" t="s">
        <v>474</v>
      </c>
      <c r="G28" s="62"/>
      <c r="H28" s="62"/>
      <c r="I28" s="62"/>
      <c r="J28" s="54" t="s">
        <v>474</v>
      </c>
      <c r="K28" s="54" t="s">
        <v>474</v>
      </c>
      <c r="L28" s="62"/>
      <c r="M28" s="54"/>
      <c r="N28" s="62"/>
      <c r="O28" s="54"/>
      <c r="P28" s="54"/>
      <c r="Q28" s="62" t="s">
        <v>475</v>
      </c>
      <c r="R28" s="62" t="s">
        <v>475</v>
      </c>
      <c r="S28" s="54"/>
      <c r="T28" s="62"/>
      <c r="U28" s="62"/>
      <c r="V28" s="62"/>
      <c r="W28" s="54"/>
      <c r="X28" s="54" t="s">
        <v>474</v>
      </c>
      <c r="Y28" s="62" t="s">
        <v>475</v>
      </c>
      <c r="Z28" s="61" t="s">
        <v>475</v>
      </c>
      <c r="AA28" s="62"/>
      <c r="AB28" s="54"/>
      <c r="AC28" s="54"/>
      <c r="AD28" s="54"/>
      <c r="AE28" s="54" t="s">
        <v>474</v>
      </c>
      <c r="AF28" s="62" t="s">
        <v>475</v>
      </c>
      <c r="AG28" s="54"/>
      <c r="AH28" s="167"/>
      <c r="AI28" s="235" t="s">
        <v>82</v>
      </c>
      <c r="AJ28" s="247" t="s">
        <v>81</v>
      </c>
    </row>
    <row r="29" spans="2:36" ht="23.5" customHeight="1" x14ac:dyDescent="0.2">
      <c r="B29" s="245"/>
      <c r="C29" s="234"/>
      <c r="D29" s="60" t="s">
        <v>738</v>
      </c>
      <c r="E29" s="62"/>
      <c r="F29" s="61" t="s">
        <v>657</v>
      </c>
      <c r="G29" s="62"/>
      <c r="H29" s="62"/>
      <c r="I29" s="62"/>
      <c r="J29" s="62" t="s">
        <v>42</v>
      </c>
      <c r="K29" s="62" t="s">
        <v>271</v>
      </c>
      <c r="L29" s="62"/>
      <c r="M29" s="62"/>
      <c r="N29" s="62"/>
      <c r="O29" s="62"/>
      <c r="P29" s="62"/>
      <c r="Q29" s="62" t="s">
        <v>739</v>
      </c>
      <c r="R29" s="62" t="s">
        <v>740</v>
      </c>
      <c r="S29" s="62"/>
      <c r="T29" s="62"/>
      <c r="U29" s="62"/>
      <c r="V29" s="62"/>
      <c r="W29" s="62"/>
      <c r="X29" s="62" t="s">
        <v>661</v>
      </c>
      <c r="Y29" s="62" t="s">
        <v>741</v>
      </c>
      <c r="Z29" s="61" t="s">
        <v>742</v>
      </c>
      <c r="AA29" s="62"/>
      <c r="AB29" s="62"/>
      <c r="AC29" s="62"/>
      <c r="AD29" s="62"/>
      <c r="AE29" s="62" t="s">
        <v>25</v>
      </c>
      <c r="AF29" s="62" t="s">
        <v>743</v>
      </c>
      <c r="AG29" s="62"/>
      <c r="AH29" s="171"/>
      <c r="AI29" s="236"/>
      <c r="AJ29" s="248"/>
    </row>
    <row r="30" spans="2:36" ht="23.5" customHeight="1" x14ac:dyDescent="0.2">
      <c r="B30" s="245"/>
      <c r="C30" s="250" t="s">
        <v>83</v>
      </c>
      <c r="D30" s="58" t="s">
        <v>48</v>
      </c>
      <c r="E30" s="109"/>
      <c r="F30" s="64" t="s">
        <v>29</v>
      </c>
      <c r="G30" s="109"/>
      <c r="H30" s="109"/>
      <c r="I30" s="109"/>
      <c r="J30" s="109" t="s">
        <v>28</v>
      </c>
      <c r="K30" s="109" t="s">
        <v>29</v>
      </c>
      <c r="L30" s="109"/>
      <c r="M30" s="109"/>
      <c r="N30" s="109"/>
      <c r="O30" s="109"/>
      <c r="P30" s="109"/>
      <c r="Q30" s="109" t="s">
        <v>31</v>
      </c>
      <c r="R30" s="109" t="s">
        <v>53</v>
      </c>
      <c r="S30" s="58"/>
      <c r="T30" s="109"/>
      <c r="U30" s="109"/>
      <c r="V30" s="109"/>
      <c r="W30" s="109"/>
      <c r="X30" s="58" t="s">
        <v>46</v>
      </c>
      <c r="Y30" s="109" t="s">
        <v>34</v>
      </c>
      <c r="Z30" s="64" t="s">
        <v>44</v>
      </c>
      <c r="AA30" s="109"/>
      <c r="AB30" s="109"/>
      <c r="AC30" s="109"/>
      <c r="AD30" s="109"/>
      <c r="AE30" s="109" t="s">
        <v>33</v>
      </c>
      <c r="AF30" s="109" t="s">
        <v>31</v>
      </c>
      <c r="AG30" s="109"/>
      <c r="AH30" s="172"/>
      <c r="AI30" s="252" t="s">
        <v>83</v>
      </c>
      <c r="AJ30" s="248"/>
    </row>
    <row r="31" spans="2:36" ht="23.5" customHeight="1" thickBot="1" x14ac:dyDescent="0.25">
      <c r="B31" s="246"/>
      <c r="C31" s="251"/>
      <c r="D31" s="66" t="s">
        <v>156</v>
      </c>
      <c r="E31" s="111"/>
      <c r="F31" s="67" t="s">
        <v>37</v>
      </c>
      <c r="G31" s="111"/>
      <c r="H31" s="111"/>
      <c r="I31" s="111"/>
      <c r="J31" s="111" t="s">
        <v>36</v>
      </c>
      <c r="K31" s="111" t="s">
        <v>225</v>
      </c>
      <c r="L31" s="111"/>
      <c r="M31" s="111"/>
      <c r="N31" s="111"/>
      <c r="O31" s="111"/>
      <c r="P31" s="111"/>
      <c r="Q31" s="111" t="s">
        <v>242</v>
      </c>
      <c r="R31" s="111" t="s">
        <v>219</v>
      </c>
      <c r="S31" s="66"/>
      <c r="T31" s="111"/>
      <c r="U31" s="111"/>
      <c r="V31" s="111"/>
      <c r="W31" s="111"/>
      <c r="X31" s="66" t="s">
        <v>206</v>
      </c>
      <c r="Y31" s="111" t="s">
        <v>40</v>
      </c>
      <c r="Z31" s="67" t="s">
        <v>169</v>
      </c>
      <c r="AA31" s="111"/>
      <c r="AB31" s="111"/>
      <c r="AC31" s="111"/>
      <c r="AD31" s="111"/>
      <c r="AE31" s="111" t="s">
        <v>39</v>
      </c>
      <c r="AF31" s="111" t="s">
        <v>38</v>
      </c>
      <c r="AG31" s="111"/>
      <c r="AH31" s="173"/>
      <c r="AI31" s="253"/>
      <c r="AJ31" s="249"/>
    </row>
    <row r="32" spans="2:36" ht="23.5" customHeight="1" x14ac:dyDescent="0.2">
      <c r="B32" s="254" t="s">
        <v>84</v>
      </c>
      <c r="C32" s="256" t="s">
        <v>82</v>
      </c>
      <c r="D32" s="62" t="s">
        <v>269</v>
      </c>
      <c r="E32" s="62" t="s">
        <v>269</v>
      </c>
      <c r="F32" s="62" t="s">
        <v>270</v>
      </c>
      <c r="G32" s="62" t="s">
        <v>269</v>
      </c>
      <c r="H32" s="62" t="s">
        <v>269</v>
      </c>
      <c r="I32" s="62" t="s">
        <v>270</v>
      </c>
      <c r="J32" s="62" t="s">
        <v>270</v>
      </c>
      <c r="K32" s="62" t="s">
        <v>269</v>
      </c>
      <c r="L32" s="62" t="s">
        <v>270</v>
      </c>
      <c r="M32" s="62" t="s">
        <v>269</v>
      </c>
      <c r="N32" s="62" t="s">
        <v>269</v>
      </c>
      <c r="O32" s="62" t="s">
        <v>270</v>
      </c>
      <c r="P32" s="62" t="s">
        <v>269</v>
      </c>
      <c r="Q32" s="62" t="s">
        <v>270</v>
      </c>
      <c r="R32" s="62" t="s">
        <v>269</v>
      </c>
      <c r="S32" s="62" t="s">
        <v>270</v>
      </c>
      <c r="T32" s="62" t="s">
        <v>270</v>
      </c>
      <c r="U32" s="62" t="s">
        <v>270</v>
      </c>
      <c r="V32" s="62" t="s">
        <v>270</v>
      </c>
      <c r="W32" s="62" t="s">
        <v>269</v>
      </c>
      <c r="X32" s="62" t="s">
        <v>269</v>
      </c>
      <c r="Y32" s="62" t="s">
        <v>269</v>
      </c>
      <c r="Z32" s="62" t="s">
        <v>269</v>
      </c>
      <c r="AA32" s="62" t="s">
        <v>270</v>
      </c>
      <c r="AB32" s="62" t="s">
        <v>269</v>
      </c>
      <c r="AC32" s="62" t="s">
        <v>269</v>
      </c>
      <c r="AD32" s="62" t="s">
        <v>270</v>
      </c>
      <c r="AE32" s="62" t="s">
        <v>270</v>
      </c>
      <c r="AF32" s="62" t="s">
        <v>270</v>
      </c>
      <c r="AG32" s="62" t="s">
        <v>270</v>
      </c>
      <c r="AH32" s="171"/>
      <c r="AI32" s="258" t="s">
        <v>82</v>
      </c>
      <c r="AJ32" s="260" t="s">
        <v>84</v>
      </c>
    </row>
    <row r="33" spans="2:36" ht="23.5" customHeight="1" x14ac:dyDescent="0.2">
      <c r="B33" s="254"/>
      <c r="C33" s="257"/>
      <c r="D33" s="70" t="s">
        <v>282</v>
      </c>
      <c r="E33" s="63" t="s">
        <v>471</v>
      </c>
      <c r="F33" s="63" t="s">
        <v>25</v>
      </c>
      <c r="G33" s="63" t="s">
        <v>279</v>
      </c>
      <c r="H33" s="63" t="s">
        <v>275</v>
      </c>
      <c r="I33" s="71" t="s">
        <v>43</v>
      </c>
      <c r="J33" s="71" t="s">
        <v>711</v>
      </c>
      <c r="K33" s="71" t="s">
        <v>415</v>
      </c>
      <c r="L33" s="63" t="s">
        <v>710</v>
      </c>
      <c r="M33" s="63" t="s">
        <v>280</v>
      </c>
      <c r="N33" s="63" t="s">
        <v>279</v>
      </c>
      <c r="O33" s="63" t="s">
        <v>22</v>
      </c>
      <c r="P33" s="71" t="s">
        <v>281</v>
      </c>
      <c r="Q33" s="71" t="s">
        <v>473</v>
      </c>
      <c r="R33" s="63" t="s">
        <v>471</v>
      </c>
      <c r="S33" s="63" t="s">
        <v>24</v>
      </c>
      <c r="T33" s="63" t="s">
        <v>473</v>
      </c>
      <c r="U33" s="63" t="s">
        <v>25</v>
      </c>
      <c r="V33" s="63" t="s">
        <v>271</v>
      </c>
      <c r="W33" s="63" t="s">
        <v>275</v>
      </c>
      <c r="X33" s="63" t="s">
        <v>414</v>
      </c>
      <c r="Y33" s="63" t="s">
        <v>280</v>
      </c>
      <c r="Z33" s="63" t="s">
        <v>276</v>
      </c>
      <c r="AA33" s="71" t="s">
        <v>711</v>
      </c>
      <c r="AB33" s="63" t="s">
        <v>281</v>
      </c>
      <c r="AC33" s="63" t="s">
        <v>712</v>
      </c>
      <c r="AD33" s="63" t="s">
        <v>22</v>
      </c>
      <c r="AE33" s="63" t="s">
        <v>24</v>
      </c>
      <c r="AF33" s="63" t="s">
        <v>473</v>
      </c>
      <c r="AG33" s="63" t="s">
        <v>42</v>
      </c>
      <c r="AH33" s="174"/>
      <c r="AI33" s="259"/>
      <c r="AJ33" s="260"/>
    </row>
    <row r="34" spans="2:36" ht="23.5" customHeight="1" x14ac:dyDescent="0.2">
      <c r="B34" s="254"/>
      <c r="C34" s="256" t="s">
        <v>83</v>
      </c>
      <c r="D34" s="69" t="s">
        <v>34</v>
      </c>
      <c r="E34" s="62" t="s">
        <v>112</v>
      </c>
      <c r="F34" s="62" t="s">
        <v>48</v>
      </c>
      <c r="G34" s="62" t="s">
        <v>49</v>
      </c>
      <c r="H34" s="62" t="s">
        <v>28</v>
      </c>
      <c r="I34" s="60" t="s">
        <v>51</v>
      </c>
      <c r="J34" s="60" t="s">
        <v>30</v>
      </c>
      <c r="K34" s="60" t="s">
        <v>54</v>
      </c>
      <c r="L34" s="62" t="s">
        <v>27</v>
      </c>
      <c r="M34" s="62" t="s">
        <v>32</v>
      </c>
      <c r="N34" s="62" t="s">
        <v>28</v>
      </c>
      <c r="O34" s="62" t="s">
        <v>50</v>
      </c>
      <c r="P34" s="60" t="s">
        <v>47</v>
      </c>
      <c r="Q34" s="60" t="s">
        <v>49</v>
      </c>
      <c r="R34" s="62" t="s">
        <v>28</v>
      </c>
      <c r="S34" s="62" t="s">
        <v>50</v>
      </c>
      <c r="T34" s="62" t="s">
        <v>209</v>
      </c>
      <c r="U34" s="62" t="s">
        <v>29</v>
      </c>
      <c r="V34" s="62" t="s">
        <v>33</v>
      </c>
      <c r="W34" s="62" t="s">
        <v>51</v>
      </c>
      <c r="X34" s="62" t="s">
        <v>30</v>
      </c>
      <c r="Y34" s="62" t="s">
        <v>33</v>
      </c>
      <c r="Z34" s="62" t="s">
        <v>384</v>
      </c>
      <c r="AA34" s="62" t="s">
        <v>53</v>
      </c>
      <c r="AB34" s="62" t="s">
        <v>29</v>
      </c>
      <c r="AC34" s="62" t="s">
        <v>50</v>
      </c>
      <c r="AD34" s="62" t="s">
        <v>48</v>
      </c>
      <c r="AE34" s="62" t="s">
        <v>26</v>
      </c>
      <c r="AF34" s="62" t="s">
        <v>52</v>
      </c>
      <c r="AG34" s="62" t="s">
        <v>112</v>
      </c>
      <c r="AH34" s="175"/>
      <c r="AI34" s="258" t="s">
        <v>83</v>
      </c>
      <c r="AJ34" s="260"/>
    </row>
    <row r="35" spans="2:36" ht="23.5" customHeight="1" thickBot="1" x14ac:dyDescent="0.25">
      <c r="B35" s="255"/>
      <c r="C35" s="241"/>
      <c r="D35" s="73" t="s">
        <v>399</v>
      </c>
      <c r="E35" s="111" t="s">
        <v>226</v>
      </c>
      <c r="F35" s="111" t="s">
        <v>530</v>
      </c>
      <c r="G35" s="111" t="s">
        <v>469</v>
      </c>
      <c r="H35" s="111" t="s">
        <v>400</v>
      </c>
      <c r="I35" s="66" t="s">
        <v>62</v>
      </c>
      <c r="J35" s="66" t="s">
        <v>175</v>
      </c>
      <c r="K35" s="66" t="s">
        <v>518</v>
      </c>
      <c r="L35" s="111" t="s">
        <v>136</v>
      </c>
      <c r="M35" s="111" t="s">
        <v>58</v>
      </c>
      <c r="N35" s="111" t="s">
        <v>460</v>
      </c>
      <c r="O35" s="111" t="s">
        <v>127</v>
      </c>
      <c r="P35" s="66" t="s">
        <v>57</v>
      </c>
      <c r="Q35" s="66" t="s">
        <v>61</v>
      </c>
      <c r="R35" s="111" t="s">
        <v>649</v>
      </c>
      <c r="S35" s="111" t="s">
        <v>222</v>
      </c>
      <c r="T35" s="111" t="s">
        <v>210</v>
      </c>
      <c r="U35" s="111" t="s">
        <v>59</v>
      </c>
      <c r="V35" s="111" t="s">
        <v>179</v>
      </c>
      <c r="W35" s="111" t="s">
        <v>398</v>
      </c>
      <c r="X35" s="111" t="s">
        <v>174</v>
      </c>
      <c r="Y35" s="111" t="s">
        <v>266</v>
      </c>
      <c r="Z35" s="111" t="s">
        <v>388</v>
      </c>
      <c r="AA35" s="111" t="s">
        <v>404</v>
      </c>
      <c r="AB35" s="111" t="s">
        <v>60</v>
      </c>
      <c r="AC35" s="111" t="s">
        <v>64</v>
      </c>
      <c r="AD35" s="111" t="s">
        <v>395</v>
      </c>
      <c r="AE35" s="111" t="s">
        <v>194</v>
      </c>
      <c r="AF35" s="111" t="s">
        <v>268</v>
      </c>
      <c r="AG35" s="111" t="s">
        <v>651</v>
      </c>
      <c r="AH35" s="176"/>
      <c r="AI35" s="243"/>
      <c r="AJ35" s="261"/>
    </row>
    <row r="36" spans="2:36" ht="23" customHeight="1" x14ac:dyDescent="0.2">
      <c r="B36" s="230" t="s">
        <v>67</v>
      </c>
      <c r="C36" s="233" t="s">
        <v>12</v>
      </c>
      <c r="D36" s="62"/>
      <c r="E36" s="62"/>
      <c r="F36" s="61"/>
      <c r="G36" s="62"/>
      <c r="H36" s="62"/>
      <c r="I36" s="62"/>
      <c r="J36" s="54"/>
      <c r="K36" s="54"/>
      <c r="L36" s="62"/>
      <c r="M36" s="62"/>
      <c r="N36" s="54"/>
      <c r="O36" s="54"/>
      <c r="P36" s="54"/>
      <c r="Q36" s="54"/>
      <c r="R36" s="54"/>
      <c r="S36" s="62"/>
      <c r="T36" s="62"/>
      <c r="U36" s="54"/>
      <c r="V36" s="54"/>
      <c r="W36" s="54"/>
      <c r="X36" s="54"/>
      <c r="Y36" s="54"/>
      <c r="Z36" s="61"/>
      <c r="AA36" s="62"/>
      <c r="AB36" s="54"/>
      <c r="AC36" s="54"/>
      <c r="AD36" s="54"/>
      <c r="AE36" s="54"/>
      <c r="AF36" s="54"/>
      <c r="AG36" s="62"/>
      <c r="AH36" s="171"/>
      <c r="AI36" s="235" t="s">
        <v>12</v>
      </c>
      <c r="AJ36" s="237" t="s">
        <v>67</v>
      </c>
    </row>
    <row r="37" spans="2:36" ht="23" customHeight="1" x14ac:dyDescent="0.2">
      <c r="B37" s="231"/>
      <c r="C37" s="234"/>
      <c r="D37" s="57"/>
      <c r="E37" s="57"/>
      <c r="F37" s="56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6"/>
      <c r="AA37" s="57"/>
      <c r="AB37" s="57"/>
      <c r="AC37" s="57"/>
      <c r="AD37" s="57"/>
      <c r="AE37" s="57"/>
      <c r="AF37" s="57"/>
      <c r="AG37" s="57"/>
      <c r="AH37" s="168"/>
      <c r="AI37" s="236"/>
      <c r="AJ37" s="238"/>
    </row>
    <row r="38" spans="2:36" ht="23" customHeight="1" x14ac:dyDescent="0.2">
      <c r="B38" s="231"/>
      <c r="C38" s="240" t="s">
        <v>14</v>
      </c>
      <c r="D38" s="113"/>
      <c r="E38" s="113"/>
      <c r="F38" s="113"/>
      <c r="G38" s="113"/>
      <c r="H38" s="113"/>
      <c r="I38" s="114"/>
      <c r="J38" s="113"/>
      <c r="K38" s="113"/>
      <c r="L38" s="113"/>
      <c r="M38" s="113"/>
      <c r="N38" s="113"/>
      <c r="O38" s="113"/>
      <c r="P38" s="113"/>
      <c r="Q38" s="114"/>
      <c r="R38" s="113"/>
      <c r="S38" s="113"/>
      <c r="T38" s="113"/>
      <c r="U38" s="113"/>
      <c r="V38" s="113"/>
      <c r="W38" s="113"/>
      <c r="X38" s="113"/>
      <c r="Y38" s="113"/>
      <c r="Z38" s="113"/>
      <c r="AA38" s="113"/>
      <c r="AB38" s="113"/>
      <c r="AC38" s="113"/>
      <c r="AD38" s="113"/>
      <c r="AE38" s="113"/>
      <c r="AF38" s="113"/>
      <c r="AG38" s="113"/>
      <c r="AH38" s="177"/>
      <c r="AI38" s="242" t="s">
        <v>14</v>
      </c>
      <c r="AJ38" s="238"/>
    </row>
    <row r="39" spans="2:36" ht="23" customHeight="1" thickBot="1" x14ac:dyDescent="0.25">
      <c r="B39" s="232"/>
      <c r="C39" s="241"/>
      <c r="D39" s="78"/>
      <c r="E39" s="79"/>
      <c r="F39" s="80"/>
      <c r="G39" s="78"/>
      <c r="H39" s="80"/>
      <c r="I39" s="80"/>
      <c r="J39" s="79"/>
      <c r="K39" s="78"/>
      <c r="L39" s="80"/>
      <c r="M39" s="80"/>
      <c r="N39" s="184"/>
      <c r="O39" s="78"/>
      <c r="P39" s="80"/>
      <c r="Q39" s="79"/>
      <c r="R39" s="78"/>
      <c r="S39" s="78"/>
      <c r="T39" s="79"/>
      <c r="U39" s="80"/>
      <c r="V39" s="78"/>
      <c r="W39" s="80"/>
      <c r="X39" s="81"/>
      <c r="Y39" s="78"/>
      <c r="Z39" s="78"/>
      <c r="AA39" s="78"/>
      <c r="AB39" s="78"/>
      <c r="AC39" s="78"/>
      <c r="AD39" s="78"/>
      <c r="AE39" s="78"/>
      <c r="AF39" s="78"/>
      <c r="AG39" s="78"/>
      <c r="AH39" s="178"/>
      <c r="AI39" s="243"/>
      <c r="AJ39" s="239"/>
    </row>
  </sheetData>
  <mergeCells count="37">
    <mergeCell ref="B36:B39"/>
    <mergeCell ref="C36:C37"/>
    <mergeCell ref="AI36:AI37"/>
    <mergeCell ref="AJ36:AJ39"/>
    <mergeCell ref="C38:C39"/>
    <mergeCell ref="AI38:AI39"/>
    <mergeCell ref="B32:B35"/>
    <mergeCell ref="C32:C33"/>
    <mergeCell ref="AI32:AI33"/>
    <mergeCell ref="AJ32:AJ35"/>
    <mergeCell ref="C34:C35"/>
    <mergeCell ref="AI34:AI35"/>
    <mergeCell ref="B28:B31"/>
    <mergeCell ref="C28:C29"/>
    <mergeCell ref="AI28:AI29"/>
    <mergeCell ref="AJ28:AJ31"/>
    <mergeCell ref="C30:C31"/>
    <mergeCell ref="AI30:AI31"/>
    <mergeCell ref="B24:B27"/>
    <mergeCell ref="C24:C25"/>
    <mergeCell ref="AI24:AI25"/>
    <mergeCell ref="AJ24:AJ27"/>
    <mergeCell ref="C26:C27"/>
    <mergeCell ref="AI26:AI27"/>
    <mergeCell ref="B20:B23"/>
    <mergeCell ref="C20:C21"/>
    <mergeCell ref="AI20:AI21"/>
    <mergeCell ref="AJ20:AJ23"/>
    <mergeCell ref="C22:C23"/>
    <mergeCell ref="AI22:AI23"/>
    <mergeCell ref="B7:C7"/>
    <mergeCell ref="AI7:AJ7"/>
    <mergeCell ref="B2:AJ2"/>
    <mergeCell ref="B3:C4"/>
    <mergeCell ref="AI3:AJ4"/>
    <mergeCell ref="B5:C6"/>
    <mergeCell ref="AI5:AJ6"/>
  </mergeCells>
  <phoneticPr fontId="7"/>
  <conditionalFormatting sqref="D8:E8">
    <cfRule type="cellIs" dxfId="541" priority="36" operator="equal">
      <formula>"㉕"</formula>
    </cfRule>
    <cfRule type="containsText" dxfId="540" priority="25" operator="containsText" text="㉕">
      <formula>NOT(ISERROR(SEARCH("㉕",D8)))</formula>
    </cfRule>
    <cfRule type="containsText" dxfId="539" priority="35" operator="containsText" text="休">
      <formula>NOT(ISERROR(SEARCH("休",D8)))</formula>
    </cfRule>
    <cfRule type="cellIs" dxfId="538" priority="26" operator="equal">
      <formula>"休"</formula>
    </cfRule>
  </conditionalFormatting>
  <conditionalFormatting sqref="D9:P10">
    <cfRule type="containsText" dxfId="537" priority="21" operator="containsText" text="㉕">
      <formula>NOT(ISERROR(SEARCH("㉕",D9)))</formula>
    </cfRule>
    <cfRule type="containsText" dxfId="536" priority="22" operator="containsText" text="休">
      <formula>NOT(ISERROR(SEARCH("休",D9)))</formula>
    </cfRule>
    <cfRule type="cellIs" dxfId="535" priority="23" operator="equal">
      <formula>"㉕"</formula>
    </cfRule>
    <cfRule type="cellIs" dxfId="534" priority="24" operator="equal">
      <formula>"休"</formula>
    </cfRule>
  </conditionalFormatting>
  <conditionalFormatting sqref="D16:P16">
    <cfRule type="containsText" dxfId="533" priority="27" operator="containsText" text="㉕">
      <formula>NOT(ISERROR(SEARCH("㉕",D16)))</formula>
    </cfRule>
    <cfRule type="cellIs" dxfId="532" priority="30" operator="equal">
      <formula>"休"</formula>
    </cfRule>
    <cfRule type="cellIs" dxfId="531" priority="29" operator="equal">
      <formula>"㉕"</formula>
    </cfRule>
    <cfRule type="containsText" dxfId="530" priority="28" operator="containsText" text="休">
      <formula>NOT(ISERROR(SEARCH("休",D16)))</formula>
    </cfRule>
  </conditionalFormatting>
  <conditionalFormatting sqref="D15:AA15">
    <cfRule type="containsText" dxfId="529" priority="31" operator="containsText" text="㉕">
      <formula>NOT(ISERROR(SEARCH("㉕",D15)))</formula>
    </cfRule>
  </conditionalFormatting>
  <conditionalFormatting sqref="D15:AC15">
    <cfRule type="containsText" dxfId="528" priority="32" operator="containsText" text="休">
      <formula>NOT(ISERROR(SEARCH("休",D15)))</formula>
    </cfRule>
    <cfRule type="cellIs" dxfId="527" priority="34" operator="equal">
      <formula>"休"</formula>
    </cfRule>
    <cfRule type="cellIs" dxfId="526" priority="33" operator="equal">
      <formula>"㉕"</formula>
    </cfRule>
  </conditionalFormatting>
  <conditionalFormatting sqref="D11:AG14">
    <cfRule type="containsText" dxfId="525" priority="9" operator="containsText" text="㉕">
      <formula>NOT(ISERROR(SEARCH("㉕",D11)))</formula>
    </cfRule>
    <cfRule type="containsText" dxfId="524" priority="10" operator="containsText" text="休">
      <formula>NOT(ISERROR(SEARCH("休",D11)))</formula>
    </cfRule>
    <cfRule type="cellIs" dxfId="523" priority="11" operator="equal">
      <formula>"㉕"</formula>
    </cfRule>
    <cfRule type="cellIs" dxfId="522" priority="12" operator="equal">
      <formula>"休"</formula>
    </cfRule>
  </conditionalFormatting>
  <conditionalFormatting sqref="D17:AG17">
    <cfRule type="cellIs" dxfId="521" priority="8" operator="equal">
      <formula>"休"</formula>
    </cfRule>
    <cfRule type="cellIs" dxfId="520" priority="7" operator="equal">
      <formula>"㉕"</formula>
    </cfRule>
    <cfRule type="containsText" dxfId="519" priority="5" operator="containsText" text="㉕">
      <formula>NOT(ISERROR(SEARCH("㉕",D17)))</formula>
    </cfRule>
    <cfRule type="containsText" dxfId="518" priority="6" operator="containsText" text="休">
      <formula>NOT(ISERROR(SEARCH("休",D17)))</formula>
    </cfRule>
  </conditionalFormatting>
  <conditionalFormatting sqref="D3:AH4">
    <cfRule type="expression" dxfId="517" priority="149">
      <formula>OR(WEEKDAY(D$3)=7,WEEKDAY(D$3)=1)</formula>
    </cfRule>
  </conditionalFormatting>
  <conditionalFormatting sqref="D5:AH7">
    <cfRule type="notContainsBlanks" dxfId="516" priority="148">
      <formula>LEN(TRIM(D5))&gt;0</formula>
    </cfRule>
  </conditionalFormatting>
  <conditionalFormatting sqref="D20:AH21">
    <cfRule type="expression" dxfId="515" priority="150">
      <formula>OR(WEEKDAY(D$3)=7,WEEKDAY(D$3)=1)</formula>
    </cfRule>
  </conditionalFormatting>
  <conditionalFormatting sqref="D24:AH25">
    <cfRule type="expression" dxfId="514" priority="151">
      <formula>OR(WEEKDAY(D$3)=7,WEEKDAY(D$3)=1)</formula>
    </cfRule>
  </conditionalFormatting>
  <conditionalFormatting sqref="D28:AH31">
    <cfRule type="expression" dxfId="513" priority="152">
      <formula>OR(WEEKDAY(D$3)=7,WEEKDAY(D$3)=1)</formula>
    </cfRule>
  </conditionalFormatting>
  <conditionalFormatting sqref="D36:AH37">
    <cfRule type="expression" dxfId="512" priority="153">
      <formula>OR(WEEKDAY(D$3)=7,WEEKDAY(D$3)=1)</formula>
    </cfRule>
  </conditionalFormatting>
  <conditionalFormatting sqref="F8:I8">
    <cfRule type="containsText" dxfId="511" priority="70" operator="containsText" text="休">
      <formula>NOT(ISERROR(SEARCH("休",F8)))</formula>
    </cfRule>
    <cfRule type="cellIs" dxfId="510" priority="72" operator="equal">
      <formula>"休"</formula>
    </cfRule>
    <cfRule type="cellIs" dxfId="509" priority="71" operator="equal">
      <formula>"㉕"</formula>
    </cfRule>
  </conditionalFormatting>
  <conditionalFormatting sqref="F8:P8">
    <cfRule type="containsText" dxfId="508" priority="66" operator="containsText" text="㉕">
      <formula>NOT(ISERROR(SEARCH("㉕",F8)))</formula>
    </cfRule>
  </conditionalFormatting>
  <conditionalFormatting sqref="J8:K8">
    <cfRule type="containsText" dxfId="507" priority="65" operator="containsText" text="休">
      <formula>NOT(ISERROR(SEARCH("休",J8)))</formula>
    </cfRule>
  </conditionalFormatting>
  <conditionalFormatting sqref="L8:P8">
    <cfRule type="cellIs" dxfId="506" priority="69" operator="equal">
      <formula>"休"</formula>
    </cfRule>
    <cfRule type="cellIs" dxfId="505" priority="68" operator="equal">
      <formula>"㉕"</formula>
    </cfRule>
    <cfRule type="containsText" dxfId="504" priority="67" operator="containsText" text="休">
      <formula>NOT(ISERROR(SEARCH("休",L8)))</formula>
    </cfRule>
  </conditionalFormatting>
  <conditionalFormatting sqref="Q8:Q10">
    <cfRule type="containsText" dxfId="503" priority="41" operator="containsText" text="㉕">
      <formula>NOT(ISERROR(SEARCH("㉕",Q8)))</formula>
    </cfRule>
    <cfRule type="cellIs" dxfId="502" priority="44" operator="equal">
      <formula>"休"</formula>
    </cfRule>
  </conditionalFormatting>
  <conditionalFormatting sqref="Q9">
    <cfRule type="cellIs" dxfId="501" priority="55" operator="equal">
      <formula>"㉕"</formula>
    </cfRule>
  </conditionalFormatting>
  <conditionalFormatting sqref="Q10">
    <cfRule type="containsText" dxfId="500" priority="42" operator="containsText" text="休">
      <formula>NOT(ISERROR(SEARCH("休",Q10)))</formula>
    </cfRule>
    <cfRule type="cellIs" dxfId="499" priority="43" operator="equal">
      <formula>"㉕"</formula>
    </cfRule>
  </conditionalFormatting>
  <conditionalFormatting sqref="Q8:R8">
    <cfRule type="containsText" dxfId="498" priority="45" operator="containsText" text="休">
      <formula>NOT(ISERROR(SEARCH("休",Q8)))</formula>
    </cfRule>
    <cfRule type="cellIs" dxfId="497" priority="46" operator="equal">
      <formula>"㉕"</formula>
    </cfRule>
  </conditionalFormatting>
  <conditionalFormatting sqref="Q9:T9">
    <cfRule type="containsText" dxfId="496" priority="53" operator="containsText" text="休">
      <formula>NOT(ISERROR(SEARCH("休",Q9)))</formula>
    </cfRule>
  </conditionalFormatting>
  <conditionalFormatting sqref="Q16:AF16">
    <cfRule type="cellIs" dxfId="495" priority="63" operator="equal">
      <formula>"休"</formula>
    </cfRule>
    <cfRule type="cellIs" dxfId="494" priority="62" operator="equal">
      <formula>"㉕"</formula>
    </cfRule>
    <cfRule type="containsText" dxfId="493" priority="61" operator="containsText" text="休">
      <formula>NOT(ISERROR(SEARCH("休",Q16)))</formula>
    </cfRule>
    <cfRule type="containsText" dxfId="492" priority="60" operator="containsText" text="㉕">
      <formula>NOT(ISERROR(SEARCH("㉕",Q16)))</formula>
    </cfRule>
  </conditionalFormatting>
  <conditionalFormatting sqref="R9">
    <cfRule type="containsText" dxfId="491" priority="64" operator="containsText" text="㉕">
      <formula>NOT(ISERROR(SEARCH("㉕",R9)))</formula>
    </cfRule>
  </conditionalFormatting>
  <conditionalFormatting sqref="R8:AG8">
    <cfRule type="containsText" dxfId="490" priority="1" operator="containsText" text="㉕">
      <formula>NOT(ISERROR(SEARCH("㉕",R8)))</formula>
    </cfRule>
    <cfRule type="cellIs" dxfId="489" priority="4" operator="equal">
      <formula>"休"</formula>
    </cfRule>
  </conditionalFormatting>
  <conditionalFormatting sqref="R10:AG10">
    <cfRule type="containsText" dxfId="488" priority="14" operator="containsText" text="休">
      <formula>NOT(ISERROR(SEARCH("休",R10)))</formula>
    </cfRule>
    <cfRule type="cellIs" dxfId="487" priority="15" operator="equal">
      <formula>"㉕"</formula>
    </cfRule>
    <cfRule type="cellIs" dxfId="486" priority="16" operator="equal">
      <formula>"休"</formula>
    </cfRule>
    <cfRule type="containsText" dxfId="485" priority="13" operator="containsText" text="㉕">
      <formula>NOT(ISERROR(SEARCH("㉕",R10)))</formula>
    </cfRule>
  </conditionalFormatting>
  <conditionalFormatting sqref="S9:T9">
    <cfRule type="cellIs" dxfId="484" priority="54" operator="equal">
      <formula>"㉕"</formula>
    </cfRule>
  </conditionalFormatting>
  <conditionalFormatting sqref="S8:AG8">
    <cfRule type="containsText" dxfId="483" priority="2" operator="containsText" text="休">
      <formula>NOT(ISERROR(SEARCH("休",S8)))</formula>
    </cfRule>
    <cfRule type="cellIs" dxfId="482" priority="3" operator="equal">
      <formula>"㉕"</formula>
    </cfRule>
  </conditionalFormatting>
  <conditionalFormatting sqref="S9:AG9">
    <cfRule type="cellIs" dxfId="481" priority="20" operator="equal">
      <formula>"休"</formula>
    </cfRule>
    <cfRule type="containsText" dxfId="480" priority="17" operator="containsText" text="㉕">
      <formula>NOT(ISERROR(SEARCH("㉕",S9)))</formula>
    </cfRule>
  </conditionalFormatting>
  <conditionalFormatting sqref="U16">
    <cfRule type="cellIs" dxfId="479" priority="52" operator="equal">
      <formula>"休"</formula>
    </cfRule>
    <cfRule type="cellIs" dxfId="478" priority="51" operator="equal">
      <formula>"㉕"</formula>
    </cfRule>
    <cfRule type="containsText" dxfId="477" priority="50" operator="containsText" text="休">
      <formula>NOT(ISERROR(SEARCH("休",U16)))</formula>
    </cfRule>
  </conditionalFormatting>
  <conditionalFormatting sqref="U9:AG9">
    <cfRule type="cellIs" dxfId="476" priority="19" operator="equal">
      <formula>"㉕"</formula>
    </cfRule>
    <cfRule type="containsText" dxfId="475" priority="18" operator="containsText" text="休">
      <formula>NOT(ISERROR(SEARCH("休",U9)))</formula>
    </cfRule>
  </conditionalFormatting>
  <conditionalFormatting sqref="AB15:AG15">
    <cfRule type="containsText" dxfId="474" priority="56" operator="containsText" text="㉕">
      <formula>NOT(ISERROR(SEARCH("㉕",AB15)))</formula>
    </cfRule>
    <cfRule type="containsText" dxfId="473" priority="57" operator="containsText" text="休">
      <formula>NOT(ISERROR(SEARCH("休",AB15)))</formula>
    </cfRule>
    <cfRule type="cellIs" dxfId="472" priority="58" operator="equal">
      <formula>"㉕"</formula>
    </cfRule>
    <cfRule type="cellIs" dxfId="471" priority="59" operator="equal">
      <formula>"休"</formula>
    </cfRule>
  </conditionalFormatting>
  <conditionalFormatting sqref="AF15">
    <cfRule type="cellIs" dxfId="470" priority="49" operator="equal">
      <formula>"休"</formula>
    </cfRule>
    <cfRule type="cellIs" dxfId="469" priority="48" operator="equal">
      <formula>"㉕"</formula>
    </cfRule>
    <cfRule type="containsText" dxfId="468" priority="47" operator="containsText" text="休">
      <formula>NOT(ISERROR(SEARCH("休",AF15)))</formula>
    </cfRule>
  </conditionalFormatting>
  <conditionalFormatting sqref="AG16">
    <cfRule type="cellIs" dxfId="467" priority="40" operator="equal">
      <formula>"休"</formula>
    </cfRule>
    <cfRule type="cellIs" dxfId="466" priority="39" operator="equal">
      <formula>"㉕"</formula>
    </cfRule>
    <cfRule type="containsText" dxfId="465" priority="38" operator="containsText" text="休">
      <formula>NOT(ISERROR(SEARCH("休",AG16)))</formula>
    </cfRule>
    <cfRule type="containsText" dxfId="464" priority="37" operator="containsText" text="㉕">
      <formula>NOT(ISERROR(SEARCH("㉕",AG16)))</formula>
    </cfRule>
  </conditionalFormatting>
  <conditionalFormatting sqref="AH8:AH17 D18:AH19">
    <cfRule type="cellIs" dxfId="463" priority="76" operator="equal">
      <formula>"休"</formula>
    </cfRule>
    <cfRule type="containsText" dxfId="462" priority="74" operator="containsText" text="休">
      <formula>NOT(ISERROR(SEARCH("休",D8)))</formula>
    </cfRule>
    <cfRule type="containsText" dxfId="461" priority="73" operator="containsText" text="㉕">
      <formula>NOT(ISERROR(SEARCH("㉕",D8)))</formula>
    </cfRule>
    <cfRule type="cellIs" dxfId="460" priority="75" operator="equal">
      <formula>"㉕"</formula>
    </cfRule>
  </conditionalFormatting>
  <pageMargins left="0.19685039370078741" right="0.11811023622047245" top="0.11811023622047245" bottom="0.35433070866141736" header="0.31496062992125984" footer="0.31496062992125984"/>
  <pageSetup paperSize="9" scale="3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69AB8-AD14-47ED-86C8-8DA312D8E89E}">
  <sheetPr>
    <pageSetUpPr fitToPage="1"/>
  </sheetPr>
  <dimension ref="B2:AO39"/>
  <sheetViews>
    <sheetView zoomScale="50" zoomScaleNormal="50" workbookViewId="0"/>
  </sheetViews>
  <sheetFormatPr defaultRowHeight="13" x14ac:dyDescent="0.2"/>
  <cols>
    <col min="1" max="3" width="8.7265625" style="14"/>
    <col min="4" max="34" width="11.1796875" style="14" customWidth="1"/>
    <col min="35" max="16384" width="8.7265625" style="14"/>
  </cols>
  <sheetData>
    <row r="2" spans="2:41" ht="41.5" thickBot="1" x14ac:dyDescent="0.25">
      <c r="B2" s="217" t="str">
        <f>AN3 &amp; "年" &amp; AO3 &amp; "月　勤務表"</f>
        <v>2026年10月　勤務表</v>
      </c>
      <c r="C2" s="217"/>
      <c r="D2" s="217"/>
      <c r="E2" s="217"/>
      <c r="F2" s="217"/>
      <c r="G2" s="217"/>
      <c r="H2" s="217"/>
      <c r="I2" s="217"/>
      <c r="J2" s="217"/>
      <c r="K2" s="217"/>
      <c r="L2" s="217"/>
      <c r="M2" s="217"/>
      <c r="N2" s="217"/>
      <c r="O2" s="217"/>
      <c r="P2" s="217"/>
      <c r="Q2" s="217"/>
      <c r="R2" s="217"/>
      <c r="S2" s="217"/>
      <c r="T2" s="217"/>
      <c r="U2" s="217"/>
      <c r="V2" s="217"/>
      <c r="W2" s="217"/>
      <c r="X2" s="217"/>
      <c r="Y2" s="217"/>
      <c r="Z2" s="217"/>
      <c r="AA2" s="217"/>
      <c r="AB2" s="217"/>
      <c r="AC2" s="217"/>
      <c r="AD2" s="217"/>
      <c r="AE2" s="217"/>
      <c r="AF2" s="217"/>
      <c r="AG2" s="217"/>
      <c r="AH2" s="217"/>
      <c r="AI2" s="217"/>
      <c r="AJ2" s="217"/>
    </row>
    <row r="3" spans="2:41" ht="25" x14ac:dyDescent="0.2">
      <c r="B3" s="218" t="str">
        <f>AN3&amp;"年
" &amp;AO3 &amp; "月"</f>
        <v>2026年
10月</v>
      </c>
      <c r="C3" s="219"/>
      <c r="D3" s="15">
        <f>DATE(AN3,AO3,1)</f>
        <v>46296</v>
      </c>
      <c r="E3" s="16">
        <f>D3+1</f>
        <v>46297</v>
      </c>
      <c r="F3" s="16">
        <f t="shared" ref="F3:AH3" si="0">E3+1</f>
        <v>46298</v>
      </c>
      <c r="G3" s="16">
        <f t="shared" si="0"/>
        <v>46299</v>
      </c>
      <c r="H3" s="16">
        <f t="shared" si="0"/>
        <v>46300</v>
      </c>
      <c r="I3" s="16">
        <f t="shared" si="0"/>
        <v>46301</v>
      </c>
      <c r="J3" s="16">
        <f>I3+1</f>
        <v>46302</v>
      </c>
      <c r="K3" s="15">
        <f t="shared" si="0"/>
        <v>46303</v>
      </c>
      <c r="L3" s="16">
        <f t="shared" si="0"/>
        <v>46304</v>
      </c>
      <c r="M3" s="16">
        <f t="shared" si="0"/>
        <v>46305</v>
      </c>
      <c r="N3" s="16">
        <f>M3+1</f>
        <v>46306</v>
      </c>
      <c r="O3" s="17">
        <f t="shared" si="0"/>
        <v>46307</v>
      </c>
      <c r="P3" s="16">
        <f t="shared" si="0"/>
        <v>46308</v>
      </c>
      <c r="Q3" s="16">
        <f t="shared" si="0"/>
        <v>46309</v>
      </c>
      <c r="R3" s="16">
        <f t="shared" si="0"/>
        <v>46310</v>
      </c>
      <c r="S3" s="16">
        <f t="shared" si="0"/>
        <v>46311</v>
      </c>
      <c r="T3" s="16">
        <f t="shared" si="0"/>
        <v>46312</v>
      </c>
      <c r="U3" s="16">
        <f t="shared" si="0"/>
        <v>46313</v>
      </c>
      <c r="V3" s="16">
        <f t="shared" si="0"/>
        <v>46314</v>
      </c>
      <c r="W3" s="16">
        <f t="shared" si="0"/>
        <v>46315</v>
      </c>
      <c r="X3" s="16">
        <f t="shared" si="0"/>
        <v>46316</v>
      </c>
      <c r="Y3" s="16">
        <f t="shared" si="0"/>
        <v>46317</v>
      </c>
      <c r="Z3" s="16">
        <f>Y3+1</f>
        <v>46318</v>
      </c>
      <c r="AA3" s="16">
        <f t="shared" si="0"/>
        <v>46319</v>
      </c>
      <c r="AB3" s="16">
        <f t="shared" si="0"/>
        <v>46320</v>
      </c>
      <c r="AC3" s="16">
        <f t="shared" si="0"/>
        <v>46321</v>
      </c>
      <c r="AD3" s="16">
        <f>AC3+1</f>
        <v>46322</v>
      </c>
      <c r="AE3" s="16">
        <f t="shared" si="0"/>
        <v>46323</v>
      </c>
      <c r="AF3" s="16">
        <f>AE3+1</f>
        <v>46324</v>
      </c>
      <c r="AG3" s="16">
        <f t="shared" si="0"/>
        <v>46325</v>
      </c>
      <c r="AH3" s="16">
        <f t="shared" si="0"/>
        <v>46326</v>
      </c>
      <c r="AI3" s="222" t="str">
        <f>B3</f>
        <v>2026年
10月</v>
      </c>
      <c r="AJ3" s="223"/>
      <c r="AN3" s="14">
        <v>2026</v>
      </c>
      <c r="AO3" s="14">
        <v>10</v>
      </c>
    </row>
    <row r="4" spans="2:41" ht="25.5" thickBot="1" x14ac:dyDescent="0.25">
      <c r="B4" s="220"/>
      <c r="C4" s="221"/>
      <c r="D4" s="18">
        <f>D3</f>
        <v>46296</v>
      </c>
      <c r="E4" s="18">
        <f t="shared" ref="E4:AE4" si="1">E3</f>
        <v>46297</v>
      </c>
      <c r="F4" s="18">
        <f t="shared" si="1"/>
        <v>46298</v>
      </c>
      <c r="G4" s="18">
        <f t="shared" si="1"/>
        <v>46299</v>
      </c>
      <c r="H4" s="18">
        <f t="shared" si="1"/>
        <v>46300</v>
      </c>
      <c r="I4" s="18">
        <f t="shared" si="1"/>
        <v>46301</v>
      </c>
      <c r="J4" s="18">
        <f t="shared" si="1"/>
        <v>46302</v>
      </c>
      <c r="K4" s="18">
        <f t="shared" si="1"/>
        <v>46303</v>
      </c>
      <c r="L4" s="18">
        <f t="shared" si="1"/>
        <v>46304</v>
      </c>
      <c r="M4" s="18">
        <f t="shared" si="1"/>
        <v>46305</v>
      </c>
      <c r="N4" s="18">
        <f t="shared" si="1"/>
        <v>46306</v>
      </c>
      <c r="O4" s="19">
        <f t="shared" si="1"/>
        <v>46307</v>
      </c>
      <c r="P4" s="18">
        <f t="shared" si="1"/>
        <v>46308</v>
      </c>
      <c r="Q4" s="18">
        <f t="shared" si="1"/>
        <v>46309</v>
      </c>
      <c r="R4" s="18">
        <f t="shared" si="1"/>
        <v>46310</v>
      </c>
      <c r="S4" s="18">
        <f t="shared" si="1"/>
        <v>46311</v>
      </c>
      <c r="T4" s="18">
        <f t="shared" si="1"/>
        <v>46312</v>
      </c>
      <c r="U4" s="18">
        <f t="shared" si="1"/>
        <v>46313</v>
      </c>
      <c r="V4" s="18">
        <f t="shared" si="1"/>
        <v>46314</v>
      </c>
      <c r="W4" s="18">
        <f t="shared" si="1"/>
        <v>46315</v>
      </c>
      <c r="X4" s="18">
        <f t="shared" si="1"/>
        <v>46316</v>
      </c>
      <c r="Y4" s="18">
        <f t="shared" si="1"/>
        <v>46317</v>
      </c>
      <c r="Z4" s="18">
        <f t="shared" si="1"/>
        <v>46318</v>
      </c>
      <c r="AA4" s="18">
        <f t="shared" si="1"/>
        <v>46319</v>
      </c>
      <c r="AB4" s="18">
        <f t="shared" si="1"/>
        <v>46320</v>
      </c>
      <c r="AC4" s="18">
        <f t="shared" si="1"/>
        <v>46321</v>
      </c>
      <c r="AD4" s="18">
        <f t="shared" si="1"/>
        <v>46322</v>
      </c>
      <c r="AE4" s="18">
        <f t="shared" si="1"/>
        <v>46323</v>
      </c>
      <c r="AF4" s="18">
        <f>AF3</f>
        <v>46324</v>
      </c>
      <c r="AG4" s="18">
        <f>AG3</f>
        <v>46325</v>
      </c>
      <c r="AH4" s="18">
        <f>AH3</f>
        <v>46326</v>
      </c>
      <c r="AI4" s="224"/>
      <c r="AJ4" s="225"/>
    </row>
    <row r="5" spans="2:41" ht="41" x14ac:dyDescent="0.2">
      <c r="B5" s="226" t="s">
        <v>75</v>
      </c>
      <c r="C5" s="227"/>
      <c r="D5" s="20" t="s">
        <v>1</v>
      </c>
      <c r="E5" s="21" t="s">
        <v>298</v>
      </c>
      <c r="F5" s="20" t="s">
        <v>427</v>
      </c>
      <c r="G5" s="20" t="s">
        <v>1</v>
      </c>
      <c r="H5" s="20" t="s">
        <v>1</v>
      </c>
      <c r="I5" s="20" t="s">
        <v>1</v>
      </c>
      <c r="J5" s="20" t="s">
        <v>1</v>
      </c>
      <c r="K5" s="23" t="s">
        <v>0</v>
      </c>
      <c r="L5" s="24" t="s">
        <v>1</v>
      </c>
      <c r="M5" s="20" t="s">
        <v>2</v>
      </c>
      <c r="N5" s="20" t="s">
        <v>1</v>
      </c>
      <c r="O5" s="20" t="s">
        <v>427</v>
      </c>
      <c r="P5" s="20"/>
      <c r="Q5" s="20" t="s">
        <v>1</v>
      </c>
      <c r="R5" s="20" t="s">
        <v>1</v>
      </c>
      <c r="S5" s="20" t="s">
        <v>299</v>
      </c>
      <c r="T5" s="24" t="s">
        <v>2</v>
      </c>
      <c r="U5" s="20" t="s">
        <v>0</v>
      </c>
      <c r="V5" s="20" t="s">
        <v>1</v>
      </c>
      <c r="W5" s="20" t="s">
        <v>1</v>
      </c>
      <c r="X5" s="20" t="s">
        <v>3</v>
      </c>
      <c r="Y5" s="24"/>
      <c r="Z5" s="24" t="s">
        <v>2</v>
      </c>
      <c r="AA5" s="20" t="s">
        <v>0</v>
      </c>
      <c r="AB5" s="20" t="s">
        <v>2</v>
      </c>
      <c r="AC5" s="24" t="s">
        <v>1</v>
      </c>
      <c r="AD5" s="20" t="s">
        <v>1</v>
      </c>
      <c r="AE5" s="24" t="s">
        <v>2</v>
      </c>
      <c r="AF5" s="20" t="s">
        <v>1</v>
      </c>
      <c r="AG5" s="24"/>
      <c r="AH5" s="139" t="s">
        <v>426</v>
      </c>
      <c r="AI5" s="228" t="s">
        <v>75</v>
      </c>
      <c r="AJ5" s="229"/>
    </row>
    <row r="6" spans="2:41" ht="20.5" x14ac:dyDescent="0.2">
      <c r="B6" s="226"/>
      <c r="C6" s="227"/>
      <c r="D6" s="20" t="s">
        <v>1</v>
      </c>
      <c r="E6" s="25" t="s">
        <v>1</v>
      </c>
      <c r="F6" s="23" t="s">
        <v>482</v>
      </c>
      <c r="G6" s="23" t="s">
        <v>1</v>
      </c>
      <c r="H6" s="20" t="s">
        <v>1</v>
      </c>
      <c r="I6" s="20" t="s">
        <v>1</v>
      </c>
      <c r="J6" s="24" t="s">
        <v>1</v>
      </c>
      <c r="K6" s="24" t="s">
        <v>1</v>
      </c>
      <c r="L6" s="24" t="s">
        <v>1</v>
      </c>
      <c r="M6" s="23" t="s">
        <v>1</v>
      </c>
      <c r="N6" s="20"/>
      <c r="O6" s="20" t="s">
        <v>428</v>
      </c>
      <c r="P6" s="20"/>
      <c r="Q6" s="24" t="s">
        <v>1</v>
      </c>
      <c r="R6" s="23" t="s">
        <v>1</v>
      </c>
      <c r="S6" s="24" t="s">
        <v>1</v>
      </c>
      <c r="T6" s="25" t="s">
        <v>1</v>
      </c>
      <c r="U6" s="20" t="s">
        <v>1</v>
      </c>
      <c r="V6" s="20" t="s">
        <v>1</v>
      </c>
      <c r="W6" s="20"/>
      <c r="X6" s="20" t="s">
        <v>1</v>
      </c>
      <c r="Y6" s="24" t="s">
        <v>1</v>
      </c>
      <c r="Z6" s="24"/>
      <c r="AA6" s="24" t="s">
        <v>1</v>
      </c>
      <c r="AB6" s="24" t="s">
        <v>1</v>
      </c>
      <c r="AC6" s="24"/>
      <c r="AD6" s="25" t="s">
        <v>1</v>
      </c>
      <c r="AE6" s="25" t="s">
        <v>1</v>
      </c>
      <c r="AF6" s="23" t="s">
        <v>1</v>
      </c>
      <c r="AG6" s="25" t="s">
        <v>1</v>
      </c>
      <c r="AH6" s="140"/>
      <c r="AI6" s="228"/>
      <c r="AJ6" s="229"/>
    </row>
    <row r="7" spans="2:41" ht="21" thickBot="1" x14ac:dyDescent="0.25">
      <c r="B7" s="213" t="s">
        <v>76</v>
      </c>
      <c r="C7" s="214"/>
      <c r="D7" s="27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141"/>
      <c r="AI7" s="215" t="s">
        <v>76</v>
      </c>
      <c r="AJ7" s="216"/>
    </row>
    <row r="8" spans="2:41" ht="78" customHeight="1" x14ac:dyDescent="0.2">
      <c r="B8" s="29" t="s">
        <v>354</v>
      </c>
      <c r="C8" s="30"/>
      <c r="D8" s="115" t="s">
        <v>433</v>
      </c>
      <c r="E8" s="115" t="s">
        <v>434</v>
      </c>
      <c r="F8" s="115" t="s">
        <v>6</v>
      </c>
      <c r="G8" s="115" t="s">
        <v>7</v>
      </c>
      <c r="H8" s="115" t="s">
        <v>432</v>
      </c>
      <c r="I8" s="152" t="s">
        <v>4</v>
      </c>
      <c r="J8" s="115" t="s">
        <v>4</v>
      </c>
      <c r="K8" s="115" t="s">
        <v>433</v>
      </c>
      <c r="L8" s="115" t="s">
        <v>4</v>
      </c>
      <c r="M8" s="115" t="s">
        <v>8</v>
      </c>
      <c r="N8" s="115" t="s">
        <v>5</v>
      </c>
      <c r="O8" s="115" t="s">
        <v>5</v>
      </c>
      <c r="P8" s="115" t="s">
        <v>598</v>
      </c>
      <c r="Q8" s="115" t="s">
        <v>432</v>
      </c>
      <c r="R8" s="115" t="s">
        <v>4</v>
      </c>
      <c r="S8" s="115" t="s">
        <v>4</v>
      </c>
      <c r="T8" s="115" t="s">
        <v>599</v>
      </c>
      <c r="U8" s="115" t="s">
        <v>5</v>
      </c>
      <c r="V8" s="152" t="s">
        <v>4</v>
      </c>
      <c r="W8" s="115" t="s">
        <v>4</v>
      </c>
      <c r="X8" s="32" t="s">
        <v>434</v>
      </c>
      <c r="Y8" s="115" t="s">
        <v>4</v>
      </c>
      <c r="Z8" s="115" t="s">
        <v>432</v>
      </c>
      <c r="AA8" s="32" t="s">
        <v>567</v>
      </c>
      <c r="AB8" s="115" t="s">
        <v>5</v>
      </c>
      <c r="AC8" s="115" t="s">
        <v>4</v>
      </c>
      <c r="AD8" s="152" t="s">
        <v>4</v>
      </c>
      <c r="AE8" s="115" t="s">
        <v>432</v>
      </c>
      <c r="AF8" s="115" t="s">
        <v>4</v>
      </c>
      <c r="AG8" s="152" t="s">
        <v>4</v>
      </c>
      <c r="AH8" s="115" t="s">
        <v>5</v>
      </c>
      <c r="AI8" s="29" t="s">
        <v>354</v>
      </c>
      <c r="AJ8" s="30"/>
    </row>
    <row r="9" spans="2:41" ht="59.5" customHeight="1" x14ac:dyDescent="0.2">
      <c r="B9" s="41" t="s">
        <v>355</v>
      </c>
      <c r="C9" s="42"/>
      <c r="D9" s="115" t="s">
        <v>6</v>
      </c>
      <c r="E9" s="115" t="s">
        <v>347</v>
      </c>
      <c r="F9" s="115" t="s">
        <v>5</v>
      </c>
      <c r="G9" s="115" t="s">
        <v>5</v>
      </c>
      <c r="H9" s="152" t="s">
        <v>8</v>
      </c>
      <c r="I9" s="115" t="s">
        <v>6</v>
      </c>
      <c r="J9" s="115" t="s">
        <v>589</v>
      </c>
      <c r="K9" s="115" t="s">
        <v>6</v>
      </c>
      <c r="L9" s="115" t="s">
        <v>7</v>
      </c>
      <c r="M9" s="115" t="s">
        <v>6</v>
      </c>
      <c r="N9" s="115" t="s">
        <v>7</v>
      </c>
      <c r="O9" s="115" t="s">
        <v>5</v>
      </c>
      <c r="P9" s="115" t="s">
        <v>8</v>
      </c>
      <c r="Q9" s="152" t="s">
        <v>8</v>
      </c>
      <c r="R9" s="115" t="s">
        <v>6</v>
      </c>
      <c r="S9" s="115" t="s">
        <v>7</v>
      </c>
      <c r="T9" s="115" t="s">
        <v>8</v>
      </c>
      <c r="U9" s="32" t="s">
        <v>5</v>
      </c>
      <c r="V9" s="115" t="s">
        <v>8</v>
      </c>
      <c r="W9" s="115" t="s">
        <v>6</v>
      </c>
      <c r="X9" s="115" t="s">
        <v>7</v>
      </c>
      <c r="Y9" s="152" t="s">
        <v>8</v>
      </c>
      <c r="Z9" s="32" t="s">
        <v>340</v>
      </c>
      <c r="AA9" s="115" t="s">
        <v>6</v>
      </c>
      <c r="AB9" s="115" t="s">
        <v>7</v>
      </c>
      <c r="AC9" s="152" t="s">
        <v>8</v>
      </c>
      <c r="AD9" s="115" t="s">
        <v>8</v>
      </c>
      <c r="AE9" s="152" t="s">
        <v>8</v>
      </c>
      <c r="AF9" s="115" t="s">
        <v>356</v>
      </c>
      <c r="AG9" s="115" t="s">
        <v>347</v>
      </c>
      <c r="AH9" s="115" t="s">
        <v>5</v>
      </c>
      <c r="AI9" s="41" t="s">
        <v>355</v>
      </c>
      <c r="AJ9" s="42"/>
    </row>
    <row r="10" spans="2:41" ht="97.5" customHeight="1" x14ac:dyDescent="0.2">
      <c r="B10" s="41" t="s">
        <v>87</v>
      </c>
      <c r="C10" s="42"/>
      <c r="D10" s="152" t="s">
        <v>8</v>
      </c>
      <c r="E10" s="149" t="s">
        <v>492</v>
      </c>
      <c r="F10" s="149" t="s">
        <v>492</v>
      </c>
      <c r="G10" s="149" t="s">
        <v>492</v>
      </c>
      <c r="H10" s="34" t="s">
        <v>334</v>
      </c>
      <c r="I10" s="34" t="s">
        <v>335</v>
      </c>
      <c r="J10" s="115" t="s">
        <v>356</v>
      </c>
      <c r="K10" s="115" t="s">
        <v>7</v>
      </c>
      <c r="L10" s="115" t="s">
        <v>6</v>
      </c>
      <c r="M10" s="115" t="s">
        <v>7</v>
      </c>
      <c r="N10" s="32" t="s">
        <v>340</v>
      </c>
      <c r="O10" s="152" t="s">
        <v>8</v>
      </c>
      <c r="P10" s="32" t="s">
        <v>5</v>
      </c>
      <c r="Q10" s="115" t="s">
        <v>5</v>
      </c>
      <c r="R10" s="152" t="s">
        <v>8</v>
      </c>
      <c r="S10" s="115" t="s">
        <v>6</v>
      </c>
      <c r="T10" s="115" t="s">
        <v>7</v>
      </c>
      <c r="U10" s="152" t="s">
        <v>8</v>
      </c>
      <c r="V10" s="115" t="s">
        <v>6</v>
      </c>
      <c r="W10" s="115" t="s">
        <v>7</v>
      </c>
      <c r="X10" s="115" t="s">
        <v>356</v>
      </c>
      <c r="Y10" s="115" t="s">
        <v>7</v>
      </c>
      <c r="Z10" s="115" t="s">
        <v>5</v>
      </c>
      <c r="AA10" s="115" t="s">
        <v>5</v>
      </c>
      <c r="AB10" s="115" t="s">
        <v>6</v>
      </c>
      <c r="AC10" s="115" t="s">
        <v>7</v>
      </c>
      <c r="AD10" s="115" t="s">
        <v>94</v>
      </c>
      <c r="AE10" s="115" t="s">
        <v>94</v>
      </c>
      <c r="AF10" s="115" t="s">
        <v>94</v>
      </c>
      <c r="AG10" s="115" t="s">
        <v>6</v>
      </c>
      <c r="AH10" s="116" t="s">
        <v>436</v>
      </c>
      <c r="AI10" s="41" t="s">
        <v>87</v>
      </c>
      <c r="AJ10" s="42"/>
    </row>
    <row r="11" spans="2:41" ht="82.5" customHeight="1" x14ac:dyDescent="0.2">
      <c r="B11" s="41" t="s">
        <v>9</v>
      </c>
      <c r="C11" s="42"/>
      <c r="D11" s="115" t="s">
        <v>7</v>
      </c>
      <c r="E11" s="152" t="s">
        <v>8</v>
      </c>
      <c r="F11" s="115" t="s">
        <v>8</v>
      </c>
      <c r="G11" s="115" t="s">
        <v>6</v>
      </c>
      <c r="H11" s="115" t="s">
        <v>7</v>
      </c>
      <c r="I11" s="115" t="s">
        <v>8</v>
      </c>
      <c r="J11" s="115" t="s">
        <v>5</v>
      </c>
      <c r="K11" s="152" t="s">
        <v>8</v>
      </c>
      <c r="L11" s="152" t="s">
        <v>8</v>
      </c>
      <c r="M11" s="32" t="s">
        <v>438</v>
      </c>
      <c r="N11" s="115" t="s">
        <v>8</v>
      </c>
      <c r="O11" s="115" t="s">
        <v>6</v>
      </c>
      <c r="P11" s="115" t="s">
        <v>7</v>
      </c>
      <c r="Q11" s="115" t="s">
        <v>339</v>
      </c>
      <c r="R11" s="115" t="s">
        <v>7</v>
      </c>
      <c r="S11" s="152" t="s">
        <v>8</v>
      </c>
      <c r="T11" s="115" t="s">
        <v>5</v>
      </c>
      <c r="U11" s="115" t="s">
        <v>5</v>
      </c>
      <c r="V11" s="115" t="s">
        <v>549</v>
      </c>
      <c r="W11" s="115" t="s">
        <v>600</v>
      </c>
      <c r="X11" s="115" t="s">
        <v>5</v>
      </c>
      <c r="Y11" s="115" t="s">
        <v>5</v>
      </c>
      <c r="Z11" s="115" t="s">
        <v>590</v>
      </c>
      <c r="AA11" s="115" t="s">
        <v>7</v>
      </c>
      <c r="AB11" s="44" t="s">
        <v>8</v>
      </c>
      <c r="AC11" s="115" t="s">
        <v>6</v>
      </c>
      <c r="AD11" s="115" t="s">
        <v>7</v>
      </c>
      <c r="AE11" s="115" t="s">
        <v>339</v>
      </c>
      <c r="AF11" s="115" t="s">
        <v>7</v>
      </c>
      <c r="AG11" s="115" t="s">
        <v>8</v>
      </c>
      <c r="AH11" s="115" t="s">
        <v>6</v>
      </c>
      <c r="AI11" s="41" t="s">
        <v>9</v>
      </c>
      <c r="AJ11" s="42"/>
    </row>
    <row r="12" spans="2:41" ht="59" customHeight="1" x14ac:dyDescent="0.2">
      <c r="B12" s="41" t="s">
        <v>88</v>
      </c>
      <c r="C12" s="42"/>
      <c r="D12" s="152" t="s">
        <v>4</v>
      </c>
      <c r="E12" s="115" t="s">
        <v>556</v>
      </c>
      <c r="F12" s="115" t="s">
        <v>7</v>
      </c>
      <c r="G12" s="149" t="s">
        <v>492</v>
      </c>
      <c r="H12" s="149" t="s">
        <v>492</v>
      </c>
      <c r="I12" s="149" t="s">
        <v>492</v>
      </c>
      <c r="J12" s="149" t="s">
        <v>492</v>
      </c>
      <c r="K12" s="115" t="s">
        <v>5</v>
      </c>
      <c r="L12" s="115" t="s">
        <v>5</v>
      </c>
      <c r="M12" s="115" t="s">
        <v>5</v>
      </c>
      <c r="N12" s="115" t="s">
        <v>339</v>
      </c>
      <c r="O12" s="32" t="s">
        <v>7</v>
      </c>
      <c r="P12" s="115" t="s">
        <v>339</v>
      </c>
      <c r="Q12" s="32" t="s">
        <v>7</v>
      </c>
      <c r="R12" s="115" t="s">
        <v>4</v>
      </c>
      <c r="S12" s="115" t="s">
        <v>5</v>
      </c>
      <c r="T12" s="115" t="s">
        <v>339</v>
      </c>
      <c r="U12" s="115" t="s">
        <v>7</v>
      </c>
      <c r="V12" s="152" t="s">
        <v>4</v>
      </c>
      <c r="W12" s="115" t="s">
        <v>591</v>
      </c>
      <c r="X12" s="115" t="s">
        <v>7</v>
      </c>
      <c r="Y12" s="115" t="s">
        <v>4</v>
      </c>
      <c r="Z12" s="115" t="s">
        <v>4</v>
      </c>
      <c r="AA12" s="115" t="s">
        <v>8</v>
      </c>
      <c r="AB12" s="115" t="s">
        <v>5</v>
      </c>
      <c r="AC12" s="115" t="s">
        <v>4</v>
      </c>
      <c r="AD12" s="152" t="s">
        <v>592</v>
      </c>
      <c r="AE12" s="152" t="s">
        <v>4</v>
      </c>
      <c r="AF12" s="152" t="s">
        <v>4</v>
      </c>
      <c r="AG12" s="115" t="s">
        <v>4</v>
      </c>
      <c r="AH12" s="115" t="s">
        <v>8</v>
      </c>
      <c r="AI12" s="41" t="s">
        <v>88</v>
      </c>
      <c r="AJ12" s="42"/>
    </row>
    <row r="13" spans="2:41" ht="118.5" customHeight="1" x14ac:dyDescent="0.2">
      <c r="B13" s="41" t="s">
        <v>89</v>
      </c>
      <c r="C13" s="42"/>
      <c r="D13" s="115" t="s">
        <v>5</v>
      </c>
      <c r="E13" s="115" t="s">
        <v>601</v>
      </c>
      <c r="F13" s="115" t="s">
        <v>601</v>
      </c>
      <c r="G13" s="115" t="s">
        <v>8</v>
      </c>
      <c r="H13" s="115" t="s">
        <v>556</v>
      </c>
      <c r="I13" s="115" t="s">
        <v>7</v>
      </c>
      <c r="J13" s="115" t="s">
        <v>602</v>
      </c>
      <c r="K13" s="115" t="s">
        <v>10</v>
      </c>
      <c r="L13" s="115" t="s">
        <v>7</v>
      </c>
      <c r="M13" s="115" t="s">
        <v>5</v>
      </c>
      <c r="N13" s="115" t="s">
        <v>5</v>
      </c>
      <c r="O13" s="115" t="s">
        <v>5</v>
      </c>
      <c r="P13" s="152" t="s">
        <v>4</v>
      </c>
      <c r="Q13" s="115" t="s">
        <v>4</v>
      </c>
      <c r="R13" s="115" t="s">
        <v>5</v>
      </c>
      <c r="S13" s="115" t="s">
        <v>603</v>
      </c>
      <c r="T13" s="115" t="s">
        <v>4</v>
      </c>
      <c r="U13" s="115" t="s">
        <v>6</v>
      </c>
      <c r="V13" s="115" t="s">
        <v>7</v>
      </c>
      <c r="W13" s="115" t="s">
        <v>4</v>
      </c>
      <c r="X13" s="152" t="s">
        <v>4</v>
      </c>
      <c r="Y13" s="115" t="s">
        <v>556</v>
      </c>
      <c r="Z13" s="115" t="s">
        <v>7</v>
      </c>
      <c r="AA13" s="115" t="s">
        <v>5</v>
      </c>
      <c r="AB13" s="115" t="s">
        <v>5</v>
      </c>
      <c r="AC13" s="152" t="s">
        <v>4</v>
      </c>
      <c r="AD13" s="32" t="s">
        <v>556</v>
      </c>
      <c r="AE13" s="115" t="s">
        <v>593</v>
      </c>
      <c r="AF13" s="115" t="s">
        <v>94</v>
      </c>
      <c r="AG13" s="115" t="s">
        <v>594</v>
      </c>
      <c r="AH13" s="115" t="s">
        <v>10</v>
      </c>
      <c r="AI13" s="41" t="s">
        <v>89</v>
      </c>
      <c r="AJ13" s="42"/>
    </row>
    <row r="14" spans="2:41" ht="84" customHeight="1" x14ac:dyDescent="0.2">
      <c r="B14" s="41" t="s">
        <v>90</v>
      </c>
      <c r="C14" s="42"/>
      <c r="D14" s="115" t="s">
        <v>10</v>
      </c>
      <c r="E14" s="115" t="s">
        <v>7</v>
      </c>
      <c r="F14" s="115" t="s">
        <v>5</v>
      </c>
      <c r="G14" s="115" t="s">
        <v>10</v>
      </c>
      <c r="H14" s="115" t="s">
        <v>347</v>
      </c>
      <c r="I14" s="115" t="s">
        <v>357</v>
      </c>
      <c r="J14" s="115" t="s">
        <v>347</v>
      </c>
      <c r="K14" s="115" t="s">
        <v>4</v>
      </c>
      <c r="L14" s="115" t="s">
        <v>4</v>
      </c>
      <c r="M14" s="115" t="s">
        <v>357</v>
      </c>
      <c r="N14" s="115" t="s">
        <v>347</v>
      </c>
      <c r="O14" s="152" t="s">
        <v>557</v>
      </c>
      <c r="P14" s="152" t="s">
        <v>4</v>
      </c>
      <c r="Q14" s="115" t="s">
        <v>5</v>
      </c>
      <c r="R14" s="115" t="s">
        <v>5</v>
      </c>
      <c r="S14" s="115" t="s">
        <v>500</v>
      </c>
      <c r="T14" s="32" t="s">
        <v>595</v>
      </c>
      <c r="U14" s="32" t="s">
        <v>360</v>
      </c>
      <c r="V14" s="115" t="s">
        <v>10</v>
      </c>
      <c r="W14" s="115" t="s">
        <v>7</v>
      </c>
      <c r="X14" s="115" t="s">
        <v>5</v>
      </c>
      <c r="Y14" s="115" t="s">
        <v>604</v>
      </c>
      <c r="Z14" s="115" t="s">
        <v>7</v>
      </c>
      <c r="AA14" s="152" t="s">
        <v>4</v>
      </c>
      <c r="AB14" s="152" t="s">
        <v>4</v>
      </c>
      <c r="AC14" s="115" t="s">
        <v>10</v>
      </c>
      <c r="AD14" s="115" t="s">
        <v>7</v>
      </c>
      <c r="AE14" s="115" t="s">
        <v>357</v>
      </c>
      <c r="AF14" s="115" t="s">
        <v>7</v>
      </c>
      <c r="AG14" s="152" t="s">
        <v>4</v>
      </c>
      <c r="AH14" s="115" t="s">
        <v>5</v>
      </c>
      <c r="AI14" s="41" t="s">
        <v>90</v>
      </c>
      <c r="AJ14" s="42"/>
    </row>
    <row r="15" spans="2:41" ht="83" customHeight="1" x14ac:dyDescent="0.2">
      <c r="B15" s="41" t="s">
        <v>609</v>
      </c>
      <c r="C15" s="42"/>
      <c r="D15" s="115" t="s">
        <v>7</v>
      </c>
      <c r="E15" s="115" t="s">
        <v>5</v>
      </c>
      <c r="F15" s="115" t="s">
        <v>357</v>
      </c>
      <c r="G15" s="115" t="s">
        <v>7</v>
      </c>
      <c r="H15" s="115" t="s">
        <v>5</v>
      </c>
      <c r="I15" s="152" t="s">
        <v>4</v>
      </c>
      <c r="J15" s="115" t="s">
        <v>10</v>
      </c>
      <c r="K15" s="115" t="s">
        <v>7</v>
      </c>
      <c r="L15" s="115" t="s">
        <v>357</v>
      </c>
      <c r="M15" s="115" t="s">
        <v>7</v>
      </c>
      <c r="N15" s="115" t="s">
        <v>357</v>
      </c>
      <c r="O15" s="115" t="s">
        <v>7</v>
      </c>
      <c r="P15" s="115" t="s">
        <v>5</v>
      </c>
      <c r="Q15" s="152" t="s">
        <v>4</v>
      </c>
      <c r="R15" s="152" t="s">
        <v>4</v>
      </c>
      <c r="S15" s="152" t="s">
        <v>4</v>
      </c>
      <c r="T15" s="115" t="s">
        <v>557</v>
      </c>
      <c r="U15" s="115" t="s">
        <v>10</v>
      </c>
      <c r="V15" s="115" t="s">
        <v>7</v>
      </c>
      <c r="W15" s="115" t="s">
        <v>5</v>
      </c>
      <c r="X15" s="115" t="s">
        <v>4</v>
      </c>
      <c r="Y15" s="115" t="s">
        <v>5</v>
      </c>
      <c r="Z15" s="115" t="s">
        <v>10</v>
      </c>
      <c r="AA15" s="115" t="s">
        <v>7</v>
      </c>
      <c r="AB15" s="115" t="s">
        <v>10</v>
      </c>
      <c r="AC15" s="115" t="s">
        <v>7</v>
      </c>
      <c r="AD15" s="115" t="s">
        <v>94</v>
      </c>
      <c r="AE15" s="115" t="s">
        <v>94</v>
      </c>
      <c r="AF15" s="115" t="s">
        <v>94</v>
      </c>
      <c r="AG15" s="115" t="s">
        <v>10</v>
      </c>
      <c r="AH15" s="115" t="s">
        <v>7</v>
      </c>
      <c r="AI15" s="41" t="s">
        <v>609</v>
      </c>
      <c r="AJ15" s="42"/>
    </row>
    <row r="16" spans="2:41" ht="59" customHeight="1" x14ac:dyDescent="0.2">
      <c r="B16" s="41" t="s">
        <v>11</v>
      </c>
      <c r="C16" s="42"/>
      <c r="D16" s="152" t="s">
        <v>4</v>
      </c>
      <c r="E16" s="115" t="s">
        <v>357</v>
      </c>
      <c r="F16" s="115" t="s">
        <v>7</v>
      </c>
      <c r="G16" s="115" t="s">
        <v>4</v>
      </c>
      <c r="H16" s="115" t="s">
        <v>357</v>
      </c>
      <c r="I16" s="115" t="s">
        <v>7</v>
      </c>
      <c r="J16" s="115" t="s">
        <v>4</v>
      </c>
      <c r="K16" s="115" t="s">
        <v>4</v>
      </c>
      <c r="L16" s="115" t="s">
        <v>5</v>
      </c>
      <c r="M16" s="115" t="s">
        <v>5</v>
      </c>
      <c r="N16" s="115" t="s">
        <v>5</v>
      </c>
      <c r="O16" s="115" t="s">
        <v>360</v>
      </c>
      <c r="P16" s="115" t="s">
        <v>10</v>
      </c>
      <c r="Q16" s="115" t="s">
        <v>7</v>
      </c>
      <c r="R16" s="115" t="s">
        <v>557</v>
      </c>
      <c r="S16" s="115" t="s">
        <v>557</v>
      </c>
      <c r="T16" s="115" t="s">
        <v>596</v>
      </c>
      <c r="U16" s="115" t="s">
        <v>597</v>
      </c>
      <c r="V16" s="115" t="s">
        <v>5</v>
      </c>
      <c r="W16" s="115" t="s">
        <v>4</v>
      </c>
      <c r="X16" s="115" t="s">
        <v>10</v>
      </c>
      <c r="Y16" s="115" t="s">
        <v>7</v>
      </c>
      <c r="Z16" s="152" t="s">
        <v>4</v>
      </c>
      <c r="AA16" s="115" t="s">
        <v>10</v>
      </c>
      <c r="AB16" s="115" t="s">
        <v>7</v>
      </c>
      <c r="AC16" s="115" t="s">
        <v>5</v>
      </c>
      <c r="AD16" s="115" t="s">
        <v>10</v>
      </c>
      <c r="AE16" s="115" t="s">
        <v>7</v>
      </c>
      <c r="AF16" s="115" t="s">
        <v>357</v>
      </c>
      <c r="AG16" s="115" t="s">
        <v>7</v>
      </c>
      <c r="AH16" s="152" t="s">
        <v>4</v>
      </c>
      <c r="AI16" s="41" t="s">
        <v>11</v>
      </c>
      <c r="AJ16" s="42"/>
    </row>
    <row r="17" spans="2:36" ht="60" customHeight="1" x14ac:dyDescent="0.3">
      <c r="B17" s="41" t="s">
        <v>93</v>
      </c>
      <c r="C17" s="42"/>
      <c r="D17" s="135"/>
      <c r="E17" s="135"/>
      <c r="F17" s="120"/>
      <c r="G17" s="120"/>
      <c r="H17" s="135"/>
      <c r="I17" s="135"/>
      <c r="J17" s="120"/>
      <c r="K17" s="120"/>
      <c r="L17" s="135"/>
      <c r="M17" s="135"/>
      <c r="N17" s="135"/>
      <c r="O17" s="120" t="s">
        <v>446</v>
      </c>
      <c r="P17" s="120" t="s">
        <v>7</v>
      </c>
      <c r="Q17" s="120" t="s">
        <v>446</v>
      </c>
      <c r="R17" s="120" t="s">
        <v>445</v>
      </c>
      <c r="S17" s="120" t="s">
        <v>7</v>
      </c>
      <c r="T17" s="120"/>
      <c r="U17" s="135"/>
      <c r="V17" s="135"/>
      <c r="W17" s="120"/>
      <c r="X17" s="120"/>
      <c r="Y17" s="120" t="s">
        <v>445</v>
      </c>
      <c r="Z17" s="120" t="s">
        <v>7</v>
      </c>
      <c r="AA17" s="135"/>
      <c r="AB17" s="135"/>
      <c r="AC17" s="136"/>
      <c r="AD17" s="135"/>
      <c r="AE17" s="135"/>
      <c r="AF17" s="135"/>
      <c r="AG17" s="135"/>
      <c r="AH17" s="153"/>
      <c r="AI17" s="41" t="s">
        <v>93</v>
      </c>
      <c r="AJ17" s="42"/>
    </row>
    <row r="18" spans="2:36" ht="68" hidden="1" customHeight="1" x14ac:dyDescent="0.3">
      <c r="B18" s="41"/>
      <c r="C18" s="42"/>
      <c r="D18" s="135"/>
      <c r="E18" s="135"/>
      <c r="F18" s="120"/>
      <c r="G18" s="120"/>
      <c r="H18" s="135"/>
      <c r="I18" s="135"/>
      <c r="J18" s="120"/>
      <c r="K18" s="120"/>
      <c r="L18" s="135"/>
      <c r="M18" s="135"/>
      <c r="N18" s="135"/>
      <c r="O18" s="135"/>
      <c r="P18" s="120"/>
      <c r="Q18" s="120"/>
      <c r="R18" s="120"/>
      <c r="S18" s="82"/>
      <c r="T18" s="120"/>
      <c r="U18" s="135"/>
      <c r="V18" s="135"/>
      <c r="W18" s="120"/>
      <c r="X18" s="120"/>
      <c r="Y18" s="135"/>
      <c r="Z18" s="135"/>
      <c r="AA18" s="135"/>
      <c r="AB18" s="135"/>
      <c r="AC18" s="136"/>
      <c r="AD18" s="135"/>
      <c r="AE18" s="135"/>
      <c r="AF18" s="135"/>
      <c r="AG18" s="135"/>
      <c r="AH18" s="194"/>
      <c r="AI18" s="41"/>
      <c r="AJ18" s="42"/>
    </row>
    <row r="19" spans="2:36" ht="60" customHeight="1" thickBot="1" x14ac:dyDescent="0.25">
      <c r="B19" s="41" t="s">
        <v>608</v>
      </c>
      <c r="C19" s="42"/>
      <c r="D19" s="36" t="s">
        <v>4</v>
      </c>
      <c r="E19" s="107" t="s">
        <v>4</v>
      </c>
      <c r="F19" s="107" t="s">
        <v>366</v>
      </c>
      <c r="G19" s="107" t="s">
        <v>366</v>
      </c>
      <c r="H19" s="155" t="s">
        <v>555</v>
      </c>
      <c r="I19" s="107" t="s">
        <v>365</v>
      </c>
      <c r="J19" s="36" t="s">
        <v>4</v>
      </c>
      <c r="K19" s="36" t="s">
        <v>4</v>
      </c>
      <c r="L19" s="107" t="s">
        <v>4</v>
      </c>
      <c r="M19" s="155" t="s">
        <v>366</v>
      </c>
      <c r="N19" s="36" t="s">
        <v>366</v>
      </c>
      <c r="O19" s="36" t="s">
        <v>452</v>
      </c>
      <c r="P19" s="36" t="s">
        <v>4</v>
      </c>
      <c r="Q19" s="108" t="s">
        <v>4</v>
      </c>
      <c r="R19" s="36" t="s">
        <v>4</v>
      </c>
      <c r="S19" s="107" t="s">
        <v>368</v>
      </c>
      <c r="T19" s="107" t="s">
        <v>366</v>
      </c>
      <c r="U19" s="36" t="s">
        <v>366</v>
      </c>
      <c r="V19" s="36" t="s">
        <v>4</v>
      </c>
      <c r="W19" s="36" t="s">
        <v>4</v>
      </c>
      <c r="X19" s="107" t="s">
        <v>4</v>
      </c>
      <c r="Y19" s="107" t="s">
        <v>4</v>
      </c>
      <c r="Z19" s="107" t="s">
        <v>4</v>
      </c>
      <c r="AA19" s="107" t="s">
        <v>503</v>
      </c>
      <c r="AB19" s="107" t="s">
        <v>366</v>
      </c>
      <c r="AC19" s="36" t="s">
        <v>365</v>
      </c>
      <c r="AD19" s="36" t="s">
        <v>4</v>
      </c>
      <c r="AE19" s="36" t="s">
        <v>368</v>
      </c>
      <c r="AF19" s="36" t="s">
        <v>4</v>
      </c>
      <c r="AG19" s="107" t="s">
        <v>4</v>
      </c>
      <c r="AH19" s="155" t="s">
        <v>453</v>
      </c>
      <c r="AI19" s="41" t="s">
        <v>608</v>
      </c>
      <c r="AJ19" s="42"/>
    </row>
    <row r="20" spans="2:36" ht="18.5" x14ac:dyDescent="0.2">
      <c r="B20" s="230" t="s">
        <v>77</v>
      </c>
      <c r="C20" s="233" t="s">
        <v>78</v>
      </c>
      <c r="D20" s="52"/>
      <c r="E20" s="54"/>
      <c r="F20" s="54" t="s">
        <v>170</v>
      </c>
      <c r="G20" s="54" t="s">
        <v>183</v>
      </c>
      <c r="H20" s="54"/>
      <c r="I20" s="54"/>
      <c r="J20" s="52"/>
      <c r="K20" s="54"/>
      <c r="L20" s="54"/>
      <c r="M20" s="54" t="s">
        <v>183</v>
      </c>
      <c r="N20" s="54" t="s">
        <v>142</v>
      </c>
      <c r="O20" s="53" t="s">
        <v>111</v>
      </c>
      <c r="P20" s="54"/>
      <c r="Q20" s="54"/>
      <c r="R20" s="54"/>
      <c r="S20" s="52"/>
      <c r="T20" s="54" t="s">
        <v>158</v>
      </c>
      <c r="U20" s="54" t="s">
        <v>142</v>
      </c>
      <c r="V20" s="54"/>
      <c r="W20" s="54"/>
      <c r="X20" s="54"/>
      <c r="Y20" s="54"/>
      <c r="Z20" s="54"/>
      <c r="AA20" s="54" t="s">
        <v>130</v>
      </c>
      <c r="AB20" s="54" t="s">
        <v>158</v>
      </c>
      <c r="AC20" s="54"/>
      <c r="AD20" s="54"/>
      <c r="AE20" s="52"/>
      <c r="AF20" s="54"/>
      <c r="AG20" s="54"/>
      <c r="AH20" s="54" t="s">
        <v>628</v>
      </c>
      <c r="AI20" s="235" t="s">
        <v>78</v>
      </c>
      <c r="AJ20" s="237" t="s">
        <v>77</v>
      </c>
    </row>
    <row r="21" spans="2:36" ht="18.5" x14ac:dyDescent="0.2">
      <c r="B21" s="231"/>
      <c r="C21" s="234"/>
      <c r="D21" s="55" t="s">
        <v>1</v>
      </c>
      <c r="E21" s="57" t="s">
        <v>1</v>
      </c>
      <c r="F21" s="57" t="s">
        <v>1</v>
      </c>
      <c r="G21" s="57" t="s">
        <v>1</v>
      </c>
      <c r="H21" s="57" t="s">
        <v>1</v>
      </c>
      <c r="I21" s="57" t="s">
        <v>1</v>
      </c>
      <c r="J21" s="55" t="s">
        <v>1</v>
      </c>
      <c r="K21" s="55" t="s">
        <v>1</v>
      </c>
      <c r="L21" s="57" t="s">
        <v>1</v>
      </c>
      <c r="M21" s="57" t="s">
        <v>1</v>
      </c>
      <c r="N21" s="57" t="s">
        <v>1</v>
      </c>
      <c r="O21" s="56" t="s">
        <v>1</v>
      </c>
      <c r="P21" s="55" t="s">
        <v>1</v>
      </c>
      <c r="Q21" s="55" t="s">
        <v>1</v>
      </c>
      <c r="R21" s="57" t="s">
        <v>1</v>
      </c>
      <c r="S21" s="57" t="s">
        <v>1</v>
      </c>
      <c r="T21" s="57" t="s">
        <v>1</v>
      </c>
      <c r="U21" s="57" t="s">
        <v>1</v>
      </c>
      <c r="V21" s="57" t="s">
        <v>1</v>
      </c>
      <c r="W21" s="57" t="s">
        <v>1</v>
      </c>
      <c r="X21" s="57" t="s">
        <v>1</v>
      </c>
      <c r="Y21" s="57" t="s">
        <v>1</v>
      </c>
      <c r="Z21" s="57" t="s">
        <v>1</v>
      </c>
      <c r="AA21" s="57" t="s">
        <v>1</v>
      </c>
      <c r="AB21" s="57" t="s">
        <v>1</v>
      </c>
      <c r="AC21" s="57" t="s">
        <v>1</v>
      </c>
      <c r="AD21" s="57" t="s">
        <v>1</v>
      </c>
      <c r="AE21" s="57" t="s">
        <v>1</v>
      </c>
      <c r="AF21" s="57" t="s">
        <v>1</v>
      </c>
      <c r="AG21" s="57" t="s">
        <v>1</v>
      </c>
      <c r="AH21" s="57"/>
      <c r="AI21" s="236"/>
      <c r="AJ21" s="238"/>
    </row>
    <row r="22" spans="2:36" ht="18.5" x14ac:dyDescent="0.2">
      <c r="B22" s="231"/>
      <c r="C22" s="240" t="s">
        <v>79</v>
      </c>
      <c r="D22" s="58" t="s">
        <v>468</v>
      </c>
      <c r="E22" s="109" t="s">
        <v>158</v>
      </c>
      <c r="F22" s="109" t="s">
        <v>170</v>
      </c>
      <c r="G22" s="109" t="s">
        <v>183</v>
      </c>
      <c r="H22" s="109" t="s">
        <v>121</v>
      </c>
      <c r="I22" s="109" t="s">
        <v>111</v>
      </c>
      <c r="J22" s="58" t="s">
        <v>158</v>
      </c>
      <c r="K22" s="58" t="s">
        <v>264</v>
      </c>
      <c r="L22" s="109" t="s">
        <v>121</v>
      </c>
      <c r="M22" s="109" t="s">
        <v>183</v>
      </c>
      <c r="N22" s="109" t="s">
        <v>142</v>
      </c>
      <c r="O22" s="58" t="s">
        <v>111</v>
      </c>
      <c r="P22" s="58" t="s">
        <v>158</v>
      </c>
      <c r="Q22" s="58" t="s">
        <v>170</v>
      </c>
      <c r="R22" s="109" t="s">
        <v>263</v>
      </c>
      <c r="S22" s="109" t="s">
        <v>111</v>
      </c>
      <c r="T22" s="109" t="s">
        <v>158</v>
      </c>
      <c r="U22" s="109" t="s">
        <v>142</v>
      </c>
      <c r="V22" s="109" t="s">
        <v>183</v>
      </c>
      <c r="W22" s="109" t="s">
        <v>111</v>
      </c>
      <c r="X22" s="109" t="s">
        <v>170</v>
      </c>
      <c r="Y22" s="109" t="s">
        <v>264</v>
      </c>
      <c r="Z22" s="109" t="s">
        <v>142</v>
      </c>
      <c r="AA22" s="109" t="s">
        <v>130</v>
      </c>
      <c r="AB22" s="109" t="s">
        <v>158</v>
      </c>
      <c r="AC22" s="109" t="s">
        <v>121</v>
      </c>
      <c r="AD22" s="109" t="s">
        <v>183</v>
      </c>
      <c r="AE22" s="109" t="s">
        <v>170</v>
      </c>
      <c r="AF22" s="109" t="s">
        <v>263</v>
      </c>
      <c r="AG22" s="109" t="s">
        <v>142</v>
      </c>
      <c r="AH22" s="109" t="s">
        <v>121</v>
      </c>
      <c r="AI22" s="242" t="s">
        <v>79</v>
      </c>
      <c r="AJ22" s="238"/>
    </row>
    <row r="23" spans="2:36" ht="19" thickBot="1" x14ac:dyDescent="0.25">
      <c r="B23" s="232"/>
      <c r="C23" s="241"/>
      <c r="D23" s="59" t="s">
        <v>1</v>
      </c>
      <c r="E23" s="110" t="s">
        <v>1</v>
      </c>
      <c r="F23" s="110" t="s">
        <v>1</v>
      </c>
      <c r="G23" s="110" t="s">
        <v>1</v>
      </c>
      <c r="H23" s="110" t="s">
        <v>1</v>
      </c>
      <c r="I23" s="110" t="s">
        <v>1</v>
      </c>
      <c r="J23" s="59" t="s">
        <v>1</v>
      </c>
      <c r="K23" s="59" t="s">
        <v>1</v>
      </c>
      <c r="L23" s="110" t="s">
        <v>1</v>
      </c>
      <c r="M23" s="110" t="s">
        <v>1</v>
      </c>
      <c r="N23" s="110" t="s">
        <v>1</v>
      </c>
      <c r="O23" s="59" t="s">
        <v>1</v>
      </c>
      <c r="P23" s="59" t="s">
        <v>1</v>
      </c>
      <c r="Q23" s="59" t="s">
        <v>1</v>
      </c>
      <c r="R23" s="110" t="s">
        <v>1</v>
      </c>
      <c r="S23" s="110" t="s">
        <v>1</v>
      </c>
      <c r="T23" s="110" t="s">
        <v>1</v>
      </c>
      <c r="U23" s="110" t="s">
        <v>1</v>
      </c>
      <c r="V23" s="110" t="s">
        <v>1</v>
      </c>
      <c r="W23" s="110" t="s">
        <v>1</v>
      </c>
      <c r="X23" s="110" t="s">
        <v>1</v>
      </c>
      <c r="Y23" s="110" t="s">
        <v>1</v>
      </c>
      <c r="Z23" s="110" t="s">
        <v>1</v>
      </c>
      <c r="AA23" s="110" t="s">
        <v>1</v>
      </c>
      <c r="AB23" s="110" t="s">
        <v>1</v>
      </c>
      <c r="AC23" s="110" t="s">
        <v>1</v>
      </c>
      <c r="AD23" s="110" t="s">
        <v>1</v>
      </c>
      <c r="AE23" s="110" t="s">
        <v>1</v>
      </c>
      <c r="AF23" s="110" t="s">
        <v>1</v>
      </c>
      <c r="AG23" s="110" t="s">
        <v>1</v>
      </c>
      <c r="AH23" s="110"/>
      <c r="AI23" s="243"/>
      <c r="AJ23" s="239"/>
    </row>
    <row r="24" spans="2:36" ht="18.5" x14ac:dyDescent="0.2">
      <c r="B24" s="230" t="s">
        <v>80</v>
      </c>
      <c r="C24" s="233" t="s">
        <v>78</v>
      </c>
      <c r="D24" s="60"/>
      <c r="E24" s="54"/>
      <c r="F24" s="54" t="s">
        <v>18</v>
      </c>
      <c r="G24" s="54" t="s">
        <v>17</v>
      </c>
      <c r="H24" s="54"/>
      <c r="I24" s="54"/>
      <c r="J24" s="52"/>
      <c r="K24" s="54"/>
      <c r="L24" s="54"/>
      <c r="M24" s="54" t="s">
        <v>15</v>
      </c>
      <c r="N24" s="54" t="s">
        <v>17</v>
      </c>
      <c r="O24" s="53" t="s">
        <v>15</v>
      </c>
      <c r="P24" s="54"/>
      <c r="Q24" s="54"/>
      <c r="R24" s="54"/>
      <c r="S24" s="52"/>
      <c r="T24" s="54" t="s">
        <v>16</v>
      </c>
      <c r="U24" s="54" t="s">
        <v>18</v>
      </c>
      <c r="V24" s="54"/>
      <c r="W24" s="54"/>
      <c r="X24" s="54"/>
      <c r="Y24" s="54"/>
      <c r="Z24" s="54"/>
      <c r="AA24" s="54" t="s">
        <v>18</v>
      </c>
      <c r="AB24" s="54" t="s">
        <v>16</v>
      </c>
      <c r="AC24" s="54"/>
      <c r="AD24" s="54"/>
      <c r="AE24" s="52"/>
      <c r="AF24" s="54"/>
      <c r="AG24" s="54"/>
      <c r="AH24" s="54" t="s">
        <v>629</v>
      </c>
      <c r="AI24" s="235" t="s">
        <v>78</v>
      </c>
      <c r="AJ24" s="237" t="s">
        <v>80</v>
      </c>
    </row>
    <row r="25" spans="2:36" ht="18.5" x14ac:dyDescent="0.2">
      <c r="B25" s="231"/>
      <c r="C25" s="234"/>
      <c r="D25" s="55"/>
      <c r="E25" s="57"/>
      <c r="F25" s="57"/>
      <c r="G25" s="57"/>
      <c r="H25" s="57"/>
      <c r="I25" s="57"/>
      <c r="J25" s="55"/>
      <c r="K25" s="55"/>
      <c r="L25" s="57"/>
      <c r="M25" s="57"/>
      <c r="N25" s="57"/>
      <c r="O25" s="56" t="s">
        <v>16</v>
      </c>
      <c r="P25" s="55"/>
      <c r="Q25" s="55"/>
      <c r="R25" s="57"/>
      <c r="S25" s="57"/>
      <c r="T25" s="57"/>
      <c r="U25" s="55"/>
      <c r="V25" s="57"/>
      <c r="W25" s="57"/>
      <c r="X25" s="57"/>
      <c r="Y25" s="57"/>
      <c r="Z25" s="57"/>
      <c r="AA25" s="57"/>
      <c r="AB25" s="57"/>
      <c r="AC25" s="55"/>
      <c r="AD25" s="57"/>
      <c r="AE25" s="57"/>
      <c r="AF25" s="57"/>
      <c r="AG25" s="57"/>
      <c r="AH25" s="57"/>
      <c r="AI25" s="236"/>
      <c r="AJ25" s="238"/>
    </row>
    <row r="26" spans="2:36" ht="18.5" x14ac:dyDescent="0.2">
      <c r="B26" s="231"/>
      <c r="C26" s="240" t="s">
        <v>79</v>
      </c>
      <c r="D26" s="60" t="s">
        <v>15</v>
      </c>
      <c r="E26" s="62" t="s">
        <v>15</v>
      </c>
      <c r="F26" s="62" t="s">
        <v>18</v>
      </c>
      <c r="G26" s="62" t="s">
        <v>19</v>
      </c>
      <c r="H26" s="62" t="s">
        <v>15</v>
      </c>
      <c r="I26" s="62" t="s">
        <v>18</v>
      </c>
      <c r="J26" s="60" t="s">
        <v>15</v>
      </c>
      <c r="K26" s="60" t="s">
        <v>17</v>
      </c>
      <c r="L26" s="62" t="s">
        <v>16</v>
      </c>
      <c r="M26" s="62" t="s">
        <v>15</v>
      </c>
      <c r="N26" s="62" t="s">
        <v>19</v>
      </c>
      <c r="O26" s="60" t="s">
        <v>15</v>
      </c>
      <c r="P26" s="60" t="s">
        <v>17</v>
      </c>
      <c r="Q26" s="60" t="s">
        <v>16</v>
      </c>
      <c r="R26" s="62" t="s">
        <v>15</v>
      </c>
      <c r="S26" s="62" t="s">
        <v>17</v>
      </c>
      <c r="T26" s="62" t="s">
        <v>16</v>
      </c>
      <c r="U26" s="62" t="s">
        <v>19</v>
      </c>
      <c r="V26" s="62" t="s">
        <v>17</v>
      </c>
      <c r="W26" s="62" t="s">
        <v>16</v>
      </c>
      <c r="X26" s="62" t="s">
        <v>17</v>
      </c>
      <c r="Y26" s="62" t="s">
        <v>18</v>
      </c>
      <c r="Z26" s="62" t="s">
        <v>16</v>
      </c>
      <c r="AA26" s="62" t="s">
        <v>18</v>
      </c>
      <c r="AB26" s="62" t="s">
        <v>19</v>
      </c>
      <c r="AC26" s="62" t="s">
        <v>15</v>
      </c>
      <c r="AD26" s="62" t="s">
        <v>18</v>
      </c>
      <c r="AE26" s="62" t="s">
        <v>16</v>
      </c>
      <c r="AF26" s="62" t="s">
        <v>17</v>
      </c>
      <c r="AG26" s="62" t="s">
        <v>18</v>
      </c>
      <c r="AH26" s="62" t="s">
        <v>17</v>
      </c>
      <c r="AI26" s="242" t="s">
        <v>79</v>
      </c>
      <c r="AJ26" s="238"/>
    </row>
    <row r="27" spans="2:36" ht="19" thickBot="1" x14ac:dyDescent="0.25">
      <c r="B27" s="232"/>
      <c r="C27" s="241"/>
      <c r="D27" s="59" t="s">
        <v>20</v>
      </c>
      <c r="E27" s="110"/>
      <c r="F27" s="110"/>
      <c r="G27" s="110"/>
      <c r="H27" s="110"/>
      <c r="I27" s="110" t="s">
        <v>20</v>
      </c>
      <c r="J27" s="59" t="s">
        <v>20</v>
      </c>
      <c r="K27" s="59" t="s">
        <v>20</v>
      </c>
      <c r="L27" s="110"/>
      <c r="M27" s="110"/>
      <c r="N27" s="110"/>
      <c r="O27" s="59" t="s">
        <v>16</v>
      </c>
      <c r="P27" s="59" t="s">
        <v>20</v>
      </c>
      <c r="Q27" s="59" t="s">
        <v>20</v>
      </c>
      <c r="R27" s="110" t="s">
        <v>20</v>
      </c>
      <c r="S27" s="110"/>
      <c r="T27" s="110"/>
      <c r="U27" s="110"/>
      <c r="V27" s="110"/>
      <c r="W27" s="110" t="s">
        <v>20</v>
      </c>
      <c r="X27" s="110"/>
      <c r="Y27" s="110" t="s">
        <v>20</v>
      </c>
      <c r="Z27" s="110"/>
      <c r="AA27" s="110"/>
      <c r="AB27" s="110"/>
      <c r="AC27" s="110"/>
      <c r="AD27" s="110" t="s">
        <v>20</v>
      </c>
      <c r="AE27" s="110" t="s">
        <v>20</v>
      </c>
      <c r="AF27" s="110" t="s">
        <v>20</v>
      </c>
      <c r="AG27" s="110"/>
      <c r="AH27" s="110"/>
      <c r="AI27" s="243"/>
      <c r="AJ27" s="239"/>
    </row>
    <row r="28" spans="2:36" ht="23.5" customHeight="1" x14ac:dyDescent="0.2">
      <c r="B28" s="244" t="s">
        <v>81</v>
      </c>
      <c r="C28" s="233" t="s">
        <v>82</v>
      </c>
      <c r="D28" s="62"/>
      <c r="E28" s="62"/>
      <c r="F28" s="54" t="s">
        <v>474</v>
      </c>
      <c r="G28" s="62" t="s">
        <v>475</v>
      </c>
      <c r="H28" s="62"/>
      <c r="I28" s="62"/>
      <c r="J28" s="62"/>
      <c r="K28" s="62"/>
      <c r="L28" s="62"/>
      <c r="M28" s="54" t="s">
        <v>474</v>
      </c>
      <c r="N28" s="62" t="s">
        <v>475</v>
      </c>
      <c r="O28" s="53" t="s">
        <v>474</v>
      </c>
      <c r="P28" s="54"/>
      <c r="Q28" s="62"/>
      <c r="R28" s="54"/>
      <c r="S28" s="54"/>
      <c r="T28" s="62" t="s">
        <v>475</v>
      </c>
      <c r="U28" s="62" t="s">
        <v>475</v>
      </c>
      <c r="V28" s="62"/>
      <c r="W28" s="54"/>
      <c r="X28" s="54"/>
      <c r="Y28" s="62"/>
      <c r="Z28" s="62"/>
      <c r="AA28" s="62" t="s">
        <v>475</v>
      </c>
      <c r="AB28" s="54" t="s">
        <v>474</v>
      </c>
      <c r="AC28" s="54"/>
      <c r="AD28" s="54"/>
      <c r="AE28" s="62"/>
      <c r="AF28" s="54"/>
      <c r="AG28" s="54"/>
      <c r="AH28" s="54" t="s">
        <v>475</v>
      </c>
      <c r="AI28" s="235" t="s">
        <v>82</v>
      </c>
      <c r="AJ28" s="247" t="s">
        <v>81</v>
      </c>
    </row>
    <row r="29" spans="2:36" ht="23.5" customHeight="1" x14ac:dyDescent="0.2">
      <c r="B29" s="245"/>
      <c r="C29" s="234"/>
      <c r="D29" s="60"/>
      <c r="E29" s="62"/>
      <c r="F29" s="62" t="s">
        <v>630</v>
      </c>
      <c r="G29" s="62" t="s">
        <v>631</v>
      </c>
      <c r="H29" s="62"/>
      <c r="I29" s="62"/>
      <c r="J29" s="62"/>
      <c r="K29" s="62"/>
      <c r="L29" s="62"/>
      <c r="M29" s="62" t="s">
        <v>632</v>
      </c>
      <c r="N29" s="62" t="s">
        <v>633</v>
      </c>
      <c r="O29" s="61" t="s">
        <v>634</v>
      </c>
      <c r="P29" s="62"/>
      <c r="Q29" s="62"/>
      <c r="R29" s="62"/>
      <c r="S29" s="62"/>
      <c r="T29" s="62" t="s">
        <v>421</v>
      </c>
      <c r="U29" s="62" t="s">
        <v>635</v>
      </c>
      <c r="V29" s="62"/>
      <c r="W29" s="62"/>
      <c r="X29" s="62"/>
      <c r="Y29" s="62"/>
      <c r="Z29" s="62"/>
      <c r="AA29" s="62" t="s">
        <v>636</v>
      </c>
      <c r="AB29" s="62" t="s">
        <v>637</v>
      </c>
      <c r="AC29" s="62"/>
      <c r="AD29" s="62"/>
      <c r="AE29" s="62"/>
      <c r="AF29" s="62"/>
      <c r="AG29" s="62"/>
      <c r="AH29" s="62" t="s">
        <v>638</v>
      </c>
      <c r="AI29" s="236"/>
      <c r="AJ29" s="248"/>
    </row>
    <row r="30" spans="2:36" ht="23.5" customHeight="1" x14ac:dyDescent="0.2">
      <c r="B30" s="245"/>
      <c r="C30" s="250" t="s">
        <v>83</v>
      </c>
      <c r="D30" s="58"/>
      <c r="E30" s="109"/>
      <c r="F30" s="109" t="s">
        <v>112</v>
      </c>
      <c r="G30" s="109" t="s">
        <v>29</v>
      </c>
      <c r="H30" s="109"/>
      <c r="I30" s="109"/>
      <c r="J30" s="58"/>
      <c r="K30" s="109"/>
      <c r="L30" s="109"/>
      <c r="M30" s="109" t="s">
        <v>53</v>
      </c>
      <c r="N30" s="109" t="s">
        <v>48</v>
      </c>
      <c r="O30" s="64" t="s">
        <v>29</v>
      </c>
      <c r="P30" s="109"/>
      <c r="Q30" s="109"/>
      <c r="R30" s="109"/>
      <c r="S30" s="58"/>
      <c r="T30" s="109" t="s">
        <v>28</v>
      </c>
      <c r="U30" s="109" t="s">
        <v>32</v>
      </c>
      <c r="V30" s="109"/>
      <c r="W30" s="109"/>
      <c r="X30" s="109"/>
      <c r="Y30" s="109"/>
      <c r="Z30" s="109"/>
      <c r="AA30" s="109" t="s">
        <v>33</v>
      </c>
      <c r="AB30" s="109" t="s">
        <v>26</v>
      </c>
      <c r="AC30" s="109"/>
      <c r="AD30" s="109"/>
      <c r="AE30" s="58"/>
      <c r="AF30" s="109"/>
      <c r="AG30" s="109"/>
      <c r="AH30" s="142" t="s">
        <v>34</v>
      </c>
      <c r="AI30" s="252" t="s">
        <v>83</v>
      </c>
      <c r="AJ30" s="248"/>
    </row>
    <row r="31" spans="2:36" ht="23.5" customHeight="1" thickBot="1" x14ac:dyDescent="0.25">
      <c r="B31" s="246"/>
      <c r="C31" s="251"/>
      <c r="D31" s="66"/>
      <c r="E31" s="111"/>
      <c r="F31" s="111" t="s">
        <v>470</v>
      </c>
      <c r="G31" s="111" t="s">
        <v>37</v>
      </c>
      <c r="H31" s="111"/>
      <c r="I31" s="111"/>
      <c r="J31" s="66"/>
      <c r="K31" s="111"/>
      <c r="L31" s="111"/>
      <c r="M31" s="111" t="s">
        <v>246</v>
      </c>
      <c r="N31" s="111" t="s">
        <v>156</v>
      </c>
      <c r="O31" s="67" t="s">
        <v>225</v>
      </c>
      <c r="P31" s="111"/>
      <c r="Q31" s="111"/>
      <c r="R31" s="111"/>
      <c r="S31" s="66"/>
      <c r="T31" s="111" t="s">
        <v>36</v>
      </c>
      <c r="U31" s="111" t="s">
        <v>401</v>
      </c>
      <c r="V31" s="111"/>
      <c r="W31" s="111"/>
      <c r="X31" s="111"/>
      <c r="Y31" s="111"/>
      <c r="Z31" s="111"/>
      <c r="AA31" s="111" t="s">
        <v>39</v>
      </c>
      <c r="AB31" s="111" t="s">
        <v>35</v>
      </c>
      <c r="AC31" s="111"/>
      <c r="AD31" s="111"/>
      <c r="AE31" s="66"/>
      <c r="AF31" s="111"/>
      <c r="AG31" s="111"/>
      <c r="AH31" s="143" t="s">
        <v>40</v>
      </c>
      <c r="AI31" s="253"/>
      <c r="AJ31" s="249"/>
    </row>
    <row r="32" spans="2:36" ht="23.5" customHeight="1" x14ac:dyDescent="0.2">
      <c r="B32" s="254" t="s">
        <v>84</v>
      </c>
      <c r="C32" s="256" t="s">
        <v>82</v>
      </c>
      <c r="D32" s="62" t="s">
        <v>269</v>
      </c>
      <c r="E32" s="62" t="s">
        <v>269</v>
      </c>
      <c r="F32" s="62" t="s">
        <v>270</v>
      </c>
      <c r="G32" s="62" t="s">
        <v>269</v>
      </c>
      <c r="H32" s="62" t="s">
        <v>269</v>
      </c>
      <c r="I32" s="62" t="s">
        <v>270</v>
      </c>
      <c r="J32" s="62" t="s">
        <v>269</v>
      </c>
      <c r="K32" s="62" t="s">
        <v>270</v>
      </c>
      <c r="L32" s="62" t="s">
        <v>269</v>
      </c>
      <c r="M32" s="62" t="s">
        <v>270</v>
      </c>
      <c r="N32" s="62" t="s">
        <v>270</v>
      </c>
      <c r="O32" s="62" t="s">
        <v>270</v>
      </c>
      <c r="P32" s="62" t="s">
        <v>270</v>
      </c>
      <c r="Q32" s="62" t="s">
        <v>269</v>
      </c>
      <c r="R32" s="62" t="s">
        <v>269</v>
      </c>
      <c r="S32" s="62" t="s">
        <v>270</v>
      </c>
      <c r="T32" s="62" t="s">
        <v>269</v>
      </c>
      <c r="U32" s="62" t="s">
        <v>269</v>
      </c>
      <c r="V32" s="62" t="s">
        <v>270</v>
      </c>
      <c r="W32" s="62" t="s">
        <v>269</v>
      </c>
      <c r="X32" s="62" t="s">
        <v>270</v>
      </c>
      <c r="Y32" s="62" t="s">
        <v>269</v>
      </c>
      <c r="Z32" s="62" t="s">
        <v>270</v>
      </c>
      <c r="AA32" s="62" t="s">
        <v>269</v>
      </c>
      <c r="AB32" s="62" t="s">
        <v>270</v>
      </c>
      <c r="AC32" s="62" t="s">
        <v>269</v>
      </c>
      <c r="AD32" s="62" t="s">
        <v>270</v>
      </c>
      <c r="AE32" s="62" t="s">
        <v>270</v>
      </c>
      <c r="AF32" s="62" t="s">
        <v>270</v>
      </c>
      <c r="AG32" s="62" t="s">
        <v>269</v>
      </c>
      <c r="AH32" s="62" t="s">
        <v>270</v>
      </c>
      <c r="AI32" s="258" t="s">
        <v>82</v>
      </c>
      <c r="AJ32" s="260" t="s">
        <v>84</v>
      </c>
    </row>
    <row r="33" spans="2:36" ht="23.5" customHeight="1" x14ac:dyDescent="0.2">
      <c r="B33" s="254"/>
      <c r="C33" s="257"/>
      <c r="D33" s="70" t="s">
        <v>276</v>
      </c>
      <c r="E33" s="63" t="s">
        <v>414</v>
      </c>
      <c r="F33" s="63" t="s">
        <v>43</v>
      </c>
      <c r="G33" s="63" t="s">
        <v>277</v>
      </c>
      <c r="H33" s="63" t="s">
        <v>282</v>
      </c>
      <c r="I33" s="71" t="s">
        <v>472</v>
      </c>
      <c r="J33" s="71" t="s">
        <v>471</v>
      </c>
      <c r="K33" s="71" t="s">
        <v>41</v>
      </c>
      <c r="L33" s="63" t="s">
        <v>273</v>
      </c>
      <c r="M33" s="63" t="s">
        <v>472</v>
      </c>
      <c r="N33" s="63" t="s">
        <v>25</v>
      </c>
      <c r="O33" s="71" t="s">
        <v>42</v>
      </c>
      <c r="P33" s="71" t="s">
        <v>23</v>
      </c>
      <c r="Q33" s="71" t="s">
        <v>471</v>
      </c>
      <c r="R33" s="63" t="s">
        <v>275</v>
      </c>
      <c r="S33" s="63" t="s">
        <v>24</v>
      </c>
      <c r="T33" s="63" t="s">
        <v>274</v>
      </c>
      <c r="U33" s="63" t="s">
        <v>273</v>
      </c>
      <c r="V33" s="63" t="s">
        <v>272</v>
      </c>
      <c r="W33" s="63" t="s">
        <v>415</v>
      </c>
      <c r="X33" s="63" t="s">
        <v>22</v>
      </c>
      <c r="Y33" s="63" t="s">
        <v>279</v>
      </c>
      <c r="Z33" s="63" t="s">
        <v>473</v>
      </c>
      <c r="AA33" s="63" t="s">
        <v>282</v>
      </c>
      <c r="AB33" s="63" t="s">
        <v>22</v>
      </c>
      <c r="AC33" s="63" t="s">
        <v>274</v>
      </c>
      <c r="AD33" s="63" t="s">
        <v>42</v>
      </c>
      <c r="AE33" s="63" t="s">
        <v>473</v>
      </c>
      <c r="AF33" s="63" t="s">
        <v>25</v>
      </c>
      <c r="AG33" s="63" t="s">
        <v>275</v>
      </c>
      <c r="AH33" s="144" t="s">
        <v>272</v>
      </c>
      <c r="AI33" s="259"/>
      <c r="AJ33" s="260"/>
    </row>
    <row r="34" spans="2:36" ht="23.5" customHeight="1" x14ac:dyDescent="0.2">
      <c r="B34" s="254"/>
      <c r="C34" s="256" t="s">
        <v>83</v>
      </c>
      <c r="D34" s="69" t="s">
        <v>28</v>
      </c>
      <c r="E34" s="62" t="s">
        <v>48</v>
      </c>
      <c r="F34" s="62" t="s">
        <v>27</v>
      </c>
      <c r="G34" s="62" t="s">
        <v>33</v>
      </c>
      <c r="H34" s="62" t="s">
        <v>28</v>
      </c>
      <c r="I34" s="60" t="s">
        <v>49</v>
      </c>
      <c r="J34" s="60" t="s">
        <v>44</v>
      </c>
      <c r="K34" s="60" t="s">
        <v>50</v>
      </c>
      <c r="L34" s="62" t="s">
        <v>384</v>
      </c>
      <c r="M34" s="62" t="s">
        <v>28</v>
      </c>
      <c r="N34" s="62" t="s">
        <v>44</v>
      </c>
      <c r="O34" s="60" t="s">
        <v>52</v>
      </c>
      <c r="P34" s="60" t="s">
        <v>28</v>
      </c>
      <c r="Q34" s="60" t="s">
        <v>50</v>
      </c>
      <c r="R34" s="62" t="s">
        <v>33</v>
      </c>
      <c r="S34" s="62" t="s">
        <v>46</v>
      </c>
      <c r="T34" s="62" t="s">
        <v>49</v>
      </c>
      <c r="U34" s="62" t="s">
        <v>26</v>
      </c>
      <c r="V34" s="62" t="s">
        <v>112</v>
      </c>
      <c r="W34" s="62" t="s">
        <v>29</v>
      </c>
      <c r="X34" s="62" t="s">
        <v>54</v>
      </c>
      <c r="Y34" s="62" t="s">
        <v>47</v>
      </c>
      <c r="Z34" s="62" t="s">
        <v>29</v>
      </c>
      <c r="AA34" s="62" t="s">
        <v>48</v>
      </c>
      <c r="AB34" s="62" t="s">
        <v>30</v>
      </c>
      <c r="AC34" s="62" t="s">
        <v>51</v>
      </c>
      <c r="AD34" s="62" t="s">
        <v>385</v>
      </c>
      <c r="AE34" s="62" t="s">
        <v>32</v>
      </c>
      <c r="AF34" s="62" t="s">
        <v>51</v>
      </c>
      <c r="AG34" s="62" t="s">
        <v>29</v>
      </c>
      <c r="AH34" s="145" t="s">
        <v>49</v>
      </c>
      <c r="AI34" s="258" t="s">
        <v>83</v>
      </c>
      <c r="AJ34" s="260"/>
    </row>
    <row r="35" spans="2:36" ht="23.5" customHeight="1" thickBot="1" x14ac:dyDescent="0.25">
      <c r="B35" s="255"/>
      <c r="C35" s="241"/>
      <c r="D35" s="73" t="s">
        <v>400</v>
      </c>
      <c r="E35" s="111" t="s">
        <v>395</v>
      </c>
      <c r="F35" s="111" t="s">
        <v>66</v>
      </c>
      <c r="G35" s="111" t="s">
        <v>266</v>
      </c>
      <c r="H35" s="111" t="s">
        <v>460</v>
      </c>
      <c r="I35" s="66" t="s">
        <v>402</v>
      </c>
      <c r="J35" s="66" t="s">
        <v>519</v>
      </c>
      <c r="K35" s="66" t="s">
        <v>531</v>
      </c>
      <c r="L35" s="111" t="s">
        <v>388</v>
      </c>
      <c r="M35" s="111" t="s">
        <v>579</v>
      </c>
      <c r="N35" s="111" t="s">
        <v>55</v>
      </c>
      <c r="O35" s="66" t="s">
        <v>147</v>
      </c>
      <c r="P35" s="66" t="s">
        <v>241</v>
      </c>
      <c r="Q35" s="66" t="s">
        <v>532</v>
      </c>
      <c r="R35" s="111" t="s">
        <v>179</v>
      </c>
      <c r="S35" s="111" t="s">
        <v>129</v>
      </c>
      <c r="T35" s="111" t="s">
        <v>402</v>
      </c>
      <c r="U35" s="111" t="s">
        <v>198</v>
      </c>
      <c r="V35" s="111" t="s">
        <v>217</v>
      </c>
      <c r="W35" s="111" t="s">
        <v>59</v>
      </c>
      <c r="X35" s="111" t="s">
        <v>214</v>
      </c>
      <c r="Y35" s="111" t="s">
        <v>57</v>
      </c>
      <c r="Z35" s="111" t="s">
        <v>391</v>
      </c>
      <c r="AA35" s="111" t="s">
        <v>267</v>
      </c>
      <c r="AB35" s="111" t="s">
        <v>233</v>
      </c>
      <c r="AC35" s="111" t="s">
        <v>398</v>
      </c>
      <c r="AD35" s="111" t="s">
        <v>397</v>
      </c>
      <c r="AE35" s="111" t="s">
        <v>65</v>
      </c>
      <c r="AF35" s="111" t="s">
        <v>235</v>
      </c>
      <c r="AG35" s="111" t="s">
        <v>60</v>
      </c>
      <c r="AH35" s="146" t="s">
        <v>61</v>
      </c>
      <c r="AI35" s="243"/>
      <c r="AJ35" s="261"/>
    </row>
    <row r="36" spans="2:36" ht="23" customHeight="1" x14ac:dyDescent="0.2">
      <c r="B36" s="230" t="s">
        <v>67</v>
      </c>
      <c r="C36" s="233" t="s">
        <v>12</v>
      </c>
      <c r="D36" s="62"/>
      <c r="E36" s="62"/>
      <c r="F36" s="62" t="s">
        <v>371</v>
      </c>
      <c r="G36" s="62" t="s">
        <v>307</v>
      </c>
      <c r="H36" s="62"/>
      <c r="I36" s="62"/>
      <c r="J36" s="54"/>
      <c r="K36" s="54"/>
      <c r="L36" s="62"/>
      <c r="M36" s="62" t="s">
        <v>73</v>
      </c>
      <c r="N36" s="54" t="s">
        <v>369</v>
      </c>
      <c r="O36" s="53" t="s">
        <v>307</v>
      </c>
      <c r="P36" s="54"/>
      <c r="Q36" s="54"/>
      <c r="R36" s="54"/>
      <c r="S36" s="62"/>
      <c r="T36" s="62" t="s">
        <v>370</v>
      </c>
      <c r="U36" s="54" t="s">
        <v>307</v>
      </c>
      <c r="V36" s="54"/>
      <c r="W36" s="54"/>
      <c r="X36" s="54"/>
      <c r="Y36" s="54"/>
      <c r="Z36" s="62"/>
      <c r="AA36" s="62" t="s">
        <v>74</v>
      </c>
      <c r="AB36" s="54" t="s">
        <v>307</v>
      </c>
      <c r="AC36" s="54"/>
      <c r="AD36" s="54"/>
      <c r="AE36" s="54"/>
      <c r="AF36" s="54"/>
      <c r="AG36" s="62"/>
      <c r="AH36" s="62" t="s">
        <v>37</v>
      </c>
      <c r="AI36" s="235" t="s">
        <v>12</v>
      </c>
      <c r="AJ36" s="237" t="s">
        <v>67</v>
      </c>
    </row>
    <row r="37" spans="2:36" ht="23" customHeight="1" x14ac:dyDescent="0.2">
      <c r="B37" s="231"/>
      <c r="C37" s="234"/>
      <c r="D37" s="57"/>
      <c r="E37" s="57"/>
      <c r="F37" s="57"/>
      <c r="G37" s="57" t="s">
        <v>374</v>
      </c>
      <c r="H37" s="57"/>
      <c r="I37" s="57"/>
      <c r="J37" s="57"/>
      <c r="K37" s="57"/>
      <c r="L37" s="57"/>
      <c r="M37" s="57"/>
      <c r="N37" s="57"/>
      <c r="O37" s="56" t="s">
        <v>380</v>
      </c>
      <c r="P37" s="57"/>
      <c r="Q37" s="57"/>
      <c r="R37" s="57"/>
      <c r="S37" s="57"/>
      <c r="T37" s="57"/>
      <c r="U37" s="57" t="s">
        <v>606</v>
      </c>
      <c r="V37" s="57"/>
      <c r="W37" s="57"/>
      <c r="X37" s="57"/>
      <c r="Y37" s="57"/>
      <c r="Z37" s="57"/>
      <c r="AA37" s="57"/>
      <c r="AB37" s="57" t="s">
        <v>376</v>
      </c>
      <c r="AC37" s="57"/>
      <c r="AD37" s="57"/>
      <c r="AE37" s="57"/>
      <c r="AF37" s="57"/>
      <c r="AG37" s="57"/>
      <c r="AH37" s="57"/>
      <c r="AI37" s="236"/>
      <c r="AJ37" s="238"/>
    </row>
    <row r="38" spans="2:36" ht="23" customHeight="1" x14ac:dyDescent="0.2">
      <c r="B38" s="231"/>
      <c r="C38" s="240" t="s">
        <v>14</v>
      </c>
      <c r="D38" s="113" t="s">
        <v>307</v>
      </c>
      <c r="E38" s="113" t="s">
        <v>369</v>
      </c>
      <c r="F38" s="113" t="s">
        <v>371</v>
      </c>
      <c r="G38" s="113" t="s">
        <v>307</v>
      </c>
      <c r="H38" s="113" t="s">
        <v>370</v>
      </c>
      <c r="I38" s="114" t="s">
        <v>74</v>
      </c>
      <c r="J38" s="113" t="s">
        <v>36</v>
      </c>
      <c r="K38" s="113" t="s">
        <v>307</v>
      </c>
      <c r="L38" s="113" t="s">
        <v>372</v>
      </c>
      <c r="M38" s="113" t="s">
        <v>73</v>
      </c>
      <c r="N38" s="113" t="s">
        <v>369</v>
      </c>
      <c r="O38" s="113" t="s">
        <v>307</v>
      </c>
      <c r="P38" s="113" t="s">
        <v>36</v>
      </c>
      <c r="Q38" s="114" t="s">
        <v>370</v>
      </c>
      <c r="R38" s="113" t="s">
        <v>307</v>
      </c>
      <c r="S38" s="113" t="s">
        <v>37</v>
      </c>
      <c r="T38" s="113" t="s">
        <v>370</v>
      </c>
      <c r="U38" s="113" t="s">
        <v>307</v>
      </c>
      <c r="V38" s="113" t="s">
        <v>36</v>
      </c>
      <c r="W38" s="113" t="s">
        <v>74</v>
      </c>
      <c r="X38" s="113" t="s">
        <v>37</v>
      </c>
      <c r="Y38" s="113" t="s">
        <v>307</v>
      </c>
      <c r="Z38" s="113" t="s">
        <v>370</v>
      </c>
      <c r="AA38" s="113" t="s">
        <v>74</v>
      </c>
      <c r="AB38" s="113" t="s">
        <v>307</v>
      </c>
      <c r="AC38" s="113" t="s">
        <v>37</v>
      </c>
      <c r="AD38" s="113" t="s">
        <v>369</v>
      </c>
      <c r="AE38" s="113" t="s">
        <v>36</v>
      </c>
      <c r="AF38" s="113" t="s">
        <v>307</v>
      </c>
      <c r="AG38" s="113" t="s">
        <v>74</v>
      </c>
      <c r="AH38" s="113" t="s">
        <v>37</v>
      </c>
      <c r="AI38" s="242" t="s">
        <v>14</v>
      </c>
      <c r="AJ38" s="238"/>
    </row>
    <row r="39" spans="2:36" ht="23" customHeight="1" thickBot="1" x14ac:dyDescent="0.25">
      <c r="B39" s="232"/>
      <c r="C39" s="241"/>
      <c r="D39" s="78" t="s">
        <v>605</v>
      </c>
      <c r="E39" s="79"/>
      <c r="F39" s="80"/>
      <c r="G39" s="78" t="s">
        <v>374</v>
      </c>
      <c r="H39" s="80"/>
      <c r="I39" s="80"/>
      <c r="J39" s="79"/>
      <c r="K39" s="78" t="s">
        <v>454</v>
      </c>
      <c r="L39" s="80"/>
      <c r="M39" s="80"/>
      <c r="N39" s="184"/>
      <c r="O39" s="78" t="s">
        <v>380</v>
      </c>
      <c r="P39" s="80"/>
      <c r="Q39" s="79"/>
      <c r="R39" s="78" t="s">
        <v>607</v>
      </c>
      <c r="S39" s="78"/>
      <c r="T39" s="79"/>
      <c r="U39" s="80" t="s">
        <v>606</v>
      </c>
      <c r="V39" s="78"/>
      <c r="W39" s="80"/>
      <c r="X39" s="81"/>
      <c r="Y39" s="78" t="s">
        <v>380</v>
      </c>
      <c r="Z39" s="78"/>
      <c r="AA39" s="78"/>
      <c r="AB39" s="78" t="s">
        <v>376</v>
      </c>
      <c r="AC39" s="78"/>
      <c r="AD39" s="78"/>
      <c r="AE39" s="78"/>
      <c r="AF39" s="78" t="s">
        <v>381</v>
      </c>
      <c r="AG39" s="78"/>
      <c r="AH39" s="147"/>
      <c r="AI39" s="243"/>
      <c r="AJ39" s="239"/>
    </row>
  </sheetData>
  <mergeCells count="37">
    <mergeCell ref="B7:C7"/>
    <mergeCell ref="AI7:AJ7"/>
    <mergeCell ref="B2:AJ2"/>
    <mergeCell ref="B3:C4"/>
    <mergeCell ref="AI3:AJ4"/>
    <mergeCell ref="B5:C6"/>
    <mergeCell ref="AI5:AJ6"/>
    <mergeCell ref="B20:B23"/>
    <mergeCell ref="C20:C21"/>
    <mergeCell ref="AI20:AI21"/>
    <mergeCell ref="AJ20:AJ23"/>
    <mergeCell ref="C22:C23"/>
    <mergeCell ref="AI22:AI23"/>
    <mergeCell ref="B24:B27"/>
    <mergeCell ref="C24:C25"/>
    <mergeCell ref="AI24:AI25"/>
    <mergeCell ref="AJ24:AJ27"/>
    <mergeCell ref="C26:C27"/>
    <mergeCell ref="AI26:AI27"/>
    <mergeCell ref="B28:B31"/>
    <mergeCell ref="C28:C29"/>
    <mergeCell ref="AI28:AI29"/>
    <mergeCell ref="AJ28:AJ31"/>
    <mergeCell ref="C30:C31"/>
    <mergeCell ref="AI30:AI31"/>
    <mergeCell ref="B32:B35"/>
    <mergeCell ref="C32:C33"/>
    <mergeCell ref="AI32:AI33"/>
    <mergeCell ref="AJ32:AJ35"/>
    <mergeCell ref="C34:C35"/>
    <mergeCell ref="AI34:AI35"/>
    <mergeCell ref="B36:B39"/>
    <mergeCell ref="C36:C37"/>
    <mergeCell ref="AI36:AI37"/>
    <mergeCell ref="AJ36:AJ39"/>
    <mergeCell ref="C38:C39"/>
    <mergeCell ref="AI38:AI39"/>
  </mergeCells>
  <phoneticPr fontId="7"/>
  <conditionalFormatting sqref="D8:E8">
    <cfRule type="cellIs" dxfId="459" priority="28" operator="equal">
      <formula>"休"</formula>
    </cfRule>
    <cfRule type="cellIs" dxfId="458" priority="27" operator="equal">
      <formula>"㉕"</formula>
    </cfRule>
    <cfRule type="containsText" dxfId="457" priority="26" operator="containsText" text="休">
      <formula>NOT(ISERROR(SEARCH("休",D8)))</formula>
    </cfRule>
    <cfRule type="containsText" dxfId="456" priority="25" operator="containsText" text="㉕">
      <formula>NOT(ISERROR(SEARCH("㉕",D8)))</formula>
    </cfRule>
  </conditionalFormatting>
  <conditionalFormatting sqref="D9:P10">
    <cfRule type="cellIs" dxfId="455" priority="15" operator="equal">
      <formula>"㉕"</formula>
    </cfRule>
    <cfRule type="cellIs" dxfId="454" priority="16" operator="equal">
      <formula>"休"</formula>
    </cfRule>
    <cfRule type="containsText" dxfId="453" priority="13" operator="containsText" text="㉕">
      <formula>NOT(ISERROR(SEARCH("㉕",D9)))</formula>
    </cfRule>
    <cfRule type="containsText" dxfId="452" priority="14" operator="containsText" text="休">
      <formula>NOT(ISERROR(SEARCH("休",D9)))</formula>
    </cfRule>
  </conditionalFormatting>
  <conditionalFormatting sqref="D16:P16">
    <cfRule type="containsText" dxfId="451" priority="30" operator="containsText" text="休">
      <formula>NOT(ISERROR(SEARCH("休",D16)))</formula>
    </cfRule>
    <cfRule type="containsText" dxfId="450" priority="29" operator="containsText" text="㉕">
      <formula>NOT(ISERROR(SEARCH("㉕",D16)))</formula>
    </cfRule>
    <cfRule type="cellIs" dxfId="449" priority="31" operator="equal">
      <formula>"㉕"</formula>
    </cfRule>
    <cfRule type="cellIs" dxfId="448" priority="32" operator="equal">
      <formula>"休"</formula>
    </cfRule>
  </conditionalFormatting>
  <conditionalFormatting sqref="D15:AB15">
    <cfRule type="containsText" dxfId="447" priority="33" operator="containsText" text="㉕">
      <formula>NOT(ISERROR(SEARCH("㉕",D15)))</formula>
    </cfRule>
  </conditionalFormatting>
  <conditionalFormatting sqref="D15:AC15">
    <cfRule type="cellIs" dxfId="446" priority="35" operator="equal">
      <formula>"㉕"</formula>
    </cfRule>
    <cfRule type="cellIs" dxfId="445" priority="36" operator="equal">
      <formula>"休"</formula>
    </cfRule>
    <cfRule type="containsText" dxfId="444" priority="34" operator="containsText" text="休">
      <formula>NOT(ISERROR(SEARCH("休",D15)))</formula>
    </cfRule>
  </conditionalFormatting>
  <conditionalFormatting sqref="D3:AH4">
    <cfRule type="expression" dxfId="443" priority="162">
      <formula>OR(WEEKDAY(D$3)=7,WEEKDAY(D$3)=1)</formula>
    </cfRule>
  </conditionalFormatting>
  <conditionalFormatting sqref="D5:AH7">
    <cfRule type="notContainsBlanks" dxfId="442" priority="161">
      <formula>LEN(TRIM(D5))&gt;0</formula>
    </cfRule>
  </conditionalFormatting>
  <conditionalFormatting sqref="D11:AH14">
    <cfRule type="containsText" dxfId="441" priority="9" operator="containsText" text="㉕">
      <formula>NOT(ISERROR(SEARCH("㉕",D11)))</formula>
    </cfRule>
    <cfRule type="containsText" dxfId="440" priority="10" operator="containsText" text="休">
      <formula>NOT(ISERROR(SEARCH("休",D11)))</formula>
    </cfRule>
    <cfRule type="cellIs" dxfId="439" priority="12" operator="equal">
      <formula>"休"</formula>
    </cfRule>
    <cfRule type="cellIs" dxfId="438" priority="11" operator="equal">
      <formula>"㉕"</formula>
    </cfRule>
  </conditionalFormatting>
  <conditionalFormatting sqref="D17:AH19">
    <cfRule type="cellIs" dxfId="437" priority="4" operator="equal">
      <formula>"休"</formula>
    </cfRule>
    <cfRule type="cellIs" dxfId="436" priority="3" operator="equal">
      <formula>"㉕"</formula>
    </cfRule>
    <cfRule type="containsText" dxfId="435" priority="2" operator="containsText" text="休">
      <formula>NOT(ISERROR(SEARCH("休",D17)))</formula>
    </cfRule>
    <cfRule type="containsText" dxfId="434" priority="1" operator="containsText" text="㉕">
      <formula>NOT(ISERROR(SEARCH("㉕",D17)))</formula>
    </cfRule>
  </conditionalFormatting>
  <conditionalFormatting sqref="D20:AH21">
    <cfRule type="expression" dxfId="433" priority="163">
      <formula>OR(WEEKDAY(D$3)=7,WEEKDAY(D$3)=1)</formula>
    </cfRule>
  </conditionalFormatting>
  <conditionalFormatting sqref="D24:AH25">
    <cfRule type="expression" dxfId="432" priority="164">
      <formula>OR(WEEKDAY(D$3)=7,WEEKDAY(D$3)=1)</formula>
    </cfRule>
  </conditionalFormatting>
  <conditionalFormatting sqref="D28:AH31">
    <cfRule type="expression" dxfId="431" priority="165">
      <formula>OR(WEEKDAY(D$3)=7,WEEKDAY(D$3)=1)</formula>
    </cfRule>
  </conditionalFormatting>
  <conditionalFormatting sqref="D36:AH37">
    <cfRule type="expression" dxfId="430" priority="166">
      <formula>OR(WEEKDAY(D$3)=7,WEEKDAY(D$3)=1)</formula>
    </cfRule>
  </conditionalFormatting>
  <conditionalFormatting sqref="F8:I8">
    <cfRule type="cellIs" dxfId="429" priority="75" operator="equal">
      <formula>"休"</formula>
    </cfRule>
    <cfRule type="cellIs" dxfId="428" priority="74" operator="equal">
      <formula>"㉕"</formula>
    </cfRule>
    <cfRule type="containsText" dxfId="427" priority="73" operator="containsText" text="休">
      <formula>NOT(ISERROR(SEARCH("休",F8)))</formula>
    </cfRule>
  </conditionalFormatting>
  <conditionalFormatting sqref="F8:P8">
    <cfRule type="containsText" dxfId="426" priority="69" operator="containsText" text="㉕">
      <formula>NOT(ISERROR(SEARCH("㉕",F8)))</formula>
    </cfRule>
  </conditionalFormatting>
  <conditionalFormatting sqref="J8:K8">
    <cfRule type="containsText" dxfId="425" priority="68" operator="containsText" text="休">
      <formula>NOT(ISERROR(SEARCH("休",J8)))</formula>
    </cfRule>
  </conditionalFormatting>
  <conditionalFormatting sqref="L8:P8">
    <cfRule type="containsText" dxfId="424" priority="70" operator="containsText" text="休">
      <formula>NOT(ISERROR(SEARCH("休",L8)))</formula>
    </cfRule>
    <cfRule type="cellIs" dxfId="423" priority="72" operator="equal">
      <formula>"休"</formula>
    </cfRule>
    <cfRule type="cellIs" dxfId="422" priority="71" operator="equal">
      <formula>"㉕"</formula>
    </cfRule>
  </conditionalFormatting>
  <conditionalFormatting sqref="Q8:Q10">
    <cfRule type="cellIs" dxfId="421" priority="46" operator="equal">
      <formula>"休"</formula>
    </cfRule>
    <cfRule type="containsText" dxfId="420" priority="43" operator="containsText" text="㉕">
      <formula>NOT(ISERROR(SEARCH("㉕",Q8)))</formula>
    </cfRule>
  </conditionalFormatting>
  <conditionalFormatting sqref="Q9">
    <cfRule type="cellIs" dxfId="419" priority="58" operator="equal">
      <formula>"㉕"</formula>
    </cfRule>
  </conditionalFormatting>
  <conditionalFormatting sqref="Q10">
    <cfRule type="containsText" dxfId="418" priority="44" operator="containsText" text="休">
      <formula>NOT(ISERROR(SEARCH("休",Q10)))</formula>
    </cfRule>
    <cfRule type="cellIs" dxfId="417" priority="45" operator="equal">
      <formula>"㉕"</formula>
    </cfRule>
  </conditionalFormatting>
  <conditionalFormatting sqref="Q9:T9">
    <cfRule type="containsText" dxfId="416" priority="56" operator="containsText" text="休">
      <formula>NOT(ISERROR(SEARCH("休",Q9)))</formula>
    </cfRule>
  </conditionalFormatting>
  <conditionalFormatting sqref="Q8:W8">
    <cfRule type="containsText" dxfId="415" priority="47" operator="containsText" text="休">
      <formula>NOT(ISERROR(SEARCH("休",Q8)))</formula>
    </cfRule>
    <cfRule type="cellIs" dxfId="414" priority="48" operator="equal">
      <formula>"㉕"</formula>
    </cfRule>
  </conditionalFormatting>
  <conditionalFormatting sqref="Q16:AF16">
    <cfRule type="cellIs" dxfId="413" priority="66" operator="equal">
      <formula>"休"</formula>
    </cfRule>
    <cfRule type="containsText" dxfId="412" priority="64" operator="containsText" text="休">
      <formula>NOT(ISERROR(SEARCH("休",Q16)))</formula>
    </cfRule>
    <cfRule type="cellIs" dxfId="411" priority="65" operator="equal">
      <formula>"㉕"</formula>
    </cfRule>
    <cfRule type="containsText" dxfId="410" priority="63" operator="containsText" text="㉕">
      <formula>NOT(ISERROR(SEARCH("㉕",Q16)))</formula>
    </cfRule>
  </conditionalFormatting>
  <conditionalFormatting sqref="R9">
    <cfRule type="containsText" dxfId="409" priority="67" operator="containsText" text="㉕">
      <formula>NOT(ISERROR(SEARCH("㉕",R9)))</formula>
    </cfRule>
  </conditionalFormatting>
  <conditionalFormatting sqref="R8:AH8">
    <cfRule type="cellIs" dxfId="408" priority="24" operator="equal">
      <formula>"休"</formula>
    </cfRule>
    <cfRule type="containsText" dxfId="407" priority="21" operator="containsText" text="㉕">
      <formula>NOT(ISERROR(SEARCH("㉕",R8)))</formula>
    </cfRule>
  </conditionalFormatting>
  <conditionalFormatting sqref="R10:AH10">
    <cfRule type="containsText" dxfId="406" priority="17" operator="containsText" text="㉕">
      <formula>NOT(ISERROR(SEARCH("㉕",R10)))</formula>
    </cfRule>
    <cfRule type="cellIs" dxfId="405" priority="20" operator="equal">
      <formula>"休"</formula>
    </cfRule>
    <cfRule type="cellIs" dxfId="404" priority="19" operator="equal">
      <formula>"㉕"</formula>
    </cfRule>
    <cfRule type="containsText" dxfId="403" priority="18" operator="containsText" text="休">
      <formula>NOT(ISERROR(SEARCH("休",R10)))</formula>
    </cfRule>
  </conditionalFormatting>
  <conditionalFormatting sqref="S9:T9">
    <cfRule type="cellIs" dxfId="402" priority="57" operator="equal">
      <formula>"㉕"</formula>
    </cfRule>
  </conditionalFormatting>
  <conditionalFormatting sqref="S9:AH9">
    <cfRule type="cellIs" dxfId="401" priority="8" operator="equal">
      <formula>"休"</formula>
    </cfRule>
    <cfRule type="containsText" dxfId="400" priority="5" operator="containsText" text="㉕">
      <formula>NOT(ISERROR(SEARCH("㉕",S9)))</formula>
    </cfRule>
  </conditionalFormatting>
  <conditionalFormatting sqref="U16">
    <cfRule type="containsText" dxfId="399" priority="52" operator="containsText" text="休">
      <formula>NOT(ISERROR(SEARCH("休",U16)))</formula>
    </cfRule>
    <cfRule type="cellIs" dxfId="398" priority="53" operator="equal">
      <formula>"㉕"</formula>
    </cfRule>
    <cfRule type="cellIs" dxfId="397" priority="54" operator="equal">
      <formula>"休"</formula>
    </cfRule>
  </conditionalFormatting>
  <conditionalFormatting sqref="U9:Y9">
    <cfRule type="cellIs" dxfId="396" priority="38" operator="equal">
      <formula>"㉕"</formula>
    </cfRule>
  </conditionalFormatting>
  <conditionalFormatting sqref="U9:AH9">
    <cfRule type="containsText" dxfId="395" priority="37" operator="containsText" text="休">
      <formula>NOT(ISERROR(SEARCH("休",U9)))</formula>
    </cfRule>
  </conditionalFormatting>
  <conditionalFormatting sqref="X8:AH8">
    <cfRule type="containsText" dxfId="394" priority="22" operator="containsText" text="休">
      <formula>NOT(ISERROR(SEARCH("休",X8)))</formula>
    </cfRule>
    <cfRule type="cellIs" dxfId="393" priority="23" operator="equal">
      <formula>"㉕"</formula>
    </cfRule>
  </conditionalFormatting>
  <conditionalFormatting sqref="Z9">
    <cfRule type="containsText" dxfId="392" priority="6" operator="containsText" text="休">
      <formula>NOT(ISERROR(SEARCH("休",Z9)))</formula>
    </cfRule>
    <cfRule type="cellIs" dxfId="391" priority="7" operator="equal">
      <formula>"㉕"</formula>
    </cfRule>
  </conditionalFormatting>
  <conditionalFormatting sqref="AA9:AH9">
    <cfRule type="cellIs" dxfId="390" priority="55" operator="equal">
      <formula>"㉕"</formula>
    </cfRule>
  </conditionalFormatting>
  <conditionalFormatting sqref="AC15:AH15">
    <cfRule type="cellIs" dxfId="389" priority="62" operator="equal">
      <formula>"休"</formula>
    </cfRule>
    <cfRule type="containsText" dxfId="388" priority="59" operator="containsText" text="㉕">
      <formula>NOT(ISERROR(SEARCH("㉕",AC15)))</formula>
    </cfRule>
    <cfRule type="containsText" dxfId="387" priority="60" operator="containsText" text="休">
      <formula>NOT(ISERROR(SEARCH("休",AC15)))</formula>
    </cfRule>
    <cfRule type="cellIs" dxfId="386" priority="61" operator="equal">
      <formula>"㉕"</formula>
    </cfRule>
  </conditionalFormatting>
  <conditionalFormatting sqref="AF15">
    <cfRule type="cellIs" dxfId="385" priority="50" operator="equal">
      <formula>"㉕"</formula>
    </cfRule>
    <cfRule type="containsText" dxfId="384" priority="49" operator="containsText" text="休">
      <formula>NOT(ISERROR(SEARCH("休",AF15)))</formula>
    </cfRule>
    <cfRule type="cellIs" dxfId="383" priority="51" operator="equal">
      <formula>"休"</formula>
    </cfRule>
  </conditionalFormatting>
  <conditionalFormatting sqref="AG16:AH16">
    <cfRule type="cellIs" dxfId="382" priority="41" operator="equal">
      <formula>"㉕"</formula>
    </cfRule>
    <cfRule type="containsText" dxfId="381" priority="39" operator="containsText" text="㉕">
      <formula>NOT(ISERROR(SEARCH("㉕",AG16)))</formula>
    </cfRule>
    <cfRule type="containsText" dxfId="380" priority="40" operator="containsText" text="休">
      <formula>NOT(ISERROR(SEARCH("休",AG16)))</formula>
    </cfRule>
    <cfRule type="cellIs" dxfId="379" priority="42" operator="equal">
      <formula>"休"</formula>
    </cfRule>
  </conditionalFormatting>
  <pageMargins left="0.19685039370078741" right="0.11811023622047245" top="0.11811023622047245" bottom="0.35433070866141736" header="0.31496062992125984" footer="0.31496062992125984"/>
  <pageSetup paperSize="9" scale="3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9A1F1-463A-409E-8319-9184A4342784}">
  <sheetPr>
    <pageSetUpPr fitToPage="1"/>
  </sheetPr>
  <dimension ref="B2:AO39"/>
  <sheetViews>
    <sheetView zoomScale="50" zoomScaleNormal="50" workbookViewId="0"/>
  </sheetViews>
  <sheetFormatPr defaultRowHeight="13" x14ac:dyDescent="0.2"/>
  <cols>
    <col min="1" max="3" width="8.7265625" style="14"/>
    <col min="4" max="34" width="11.1796875" style="14" customWidth="1"/>
    <col min="35" max="16384" width="8.7265625" style="14"/>
  </cols>
  <sheetData>
    <row r="2" spans="2:41" ht="41.5" thickBot="1" x14ac:dyDescent="0.25">
      <c r="B2" s="217" t="str">
        <f>AN3 &amp; "年" &amp; AO3 &amp; "月　勤務表"</f>
        <v>2026年9月　勤務表</v>
      </c>
      <c r="C2" s="217"/>
      <c r="D2" s="217"/>
      <c r="E2" s="217"/>
      <c r="F2" s="217"/>
      <c r="G2" s="217"/>
      <c r="H2" s="217"/>
      <c r="I2" s="217"/>
      <c r="J2" s="217"/>
      <c r="K2" s="217"/>
      <c r="L2" s="217"/>
      <c r="M2" s="217"/>
      <c r="N2" s="217"/>
      <c r="O2" s="217"/>
      <c r="P2" s="217"/>
      <c r="Q2" s="217"/>
      <c r="R2" s="217"/>
      <c r="S2" s="217"/>
      <c r="T2" s="217"/>
      <c r="U2" s="217"/>
      <c r="V2" s="217"/>
      <c r="W2" s="217"/>
      <c r="X2" s="217"/>
      <c r="Y2" s="217"/>
      <c r="Z2" s="217"/>
      <c r="AA2" s="217"/>
      <c r="AB2" s="217"/>
      <c r="AC2" s="217"/>
      <c r="AD2" s="217"/>
      <c r="AE2" s="217"/>
      <c r="AF2" s="217"/>
      <c r="AG2" s="217"/>
      <c r="AH2" s="217"/>
      <c r="AI2" s="217"/>
      <c r="AJ2" s="217"/>
    </row>
    <row r="3" spans="2:41" ht="25" x14ac:dyDescent="0.2">
      <c r="B3" s="218" t="str">
        <f>AN3&amp;"年
" &amp;AO3 &amp; "月"</f>
        <v>2026年
9月</v>
      </c>
      <c r="C3" s="219"/>
      <c r="D3" s="15">
        <f>DATE(AN3,AO3,1)</f>
        <v>46266</v>
      </c>
      <c r="E3" s="16">
        <f>D3+1</f>
        <v>46267</v>
      </c>
      <c r="F3" s="16">
        <f t="shared" ref="F3:AG3" si="0">E3+1</f>
        <v>46268</v>
      </c>
      <c r="G3" s="16">
        <f t="shared" si="0"/>
        <v>46269</v>
      </c>
      <c r="H3" s="16">
        <f t="shared" si="0"/>
        <v>46270</v>
      </c>
      <c r="I3" s="16">
        <f t="shared" si="0"/>
        <v>46271</v>
      </c>
      <c r="J3" s="16">
        <f>I3+1</f>
        <v>46272</v>
      </c>
      <c r="K3" s="15">
        <f t="shared" si="0"/>
        <v>46273</v>
      </c>
      <c r="L3" s="16">
        <f t="shared" si="0"/>
        <v>46274</v>
      </c>
      <c r="M3" s="16">
        <f t="shared" si="0"/>
        <v>46275</v>
      </c>
      <c r="N3" s="16">
        <f>M3+1</f>
        <v>46276</v>
      </c>
      <c r="O3" s="16">
        <f t="shared" si="0"/>
        <v>46277</v>
      </c>
      <c r="P3" s="16">
        <f t="shared" si="0"/>
        <v>46278</v>
      </c>
      <c r="Q3" s="16">
        <f t="shared" si="0"/>
        <v>46279</v>
      </c>
      <c r="R3" s="16">
        <f t="shared" si="0"/>
        <v>46280</v>
      </c>
      <c r="S3" s="16">
        <f t="shared" si="0"/>
        <v>46281</v>
      </c>
      <c r="T3" s="16">
        <f t="shared" si="0"/>
        <v>46282</v>
      </c>
      <c r="U3" s="16">
        <f t="shared" si="0"/>
        <v>46283</v>
      </c>
      <c r="V3" s="16">
        <f t="shared" si="0"/>
        <v>46284</v>
      </c>
      <c r="W3" s="16">
        <f t="shared" si="0"/>
        <v>46285</v>
      </c>
      <c r="X3" s="17">
        <f t="shared" si="0"/>
        <v>46286</v>
      </c>
      <c r="Y3" s="17">
        <f t="shared" si="0"/>
        <v>46287</v>
      </c>
      <c r="Z3" s="17">
        <f>Y3+1</f>
        <v>46288</v>
      </c>
      <c r="AA3" s="16">
        <f t="shared" si="0"/>
        <v>46289</v>
      </c>
      <c r="AB3" s="16">
        <f t="shared" si="0"/>
        <v>46290</v>
      </c>
      <c r="AC3" s="16">
        <f t="shared" si="0"/>
        <v>46291</v>
      </c>
      <c r="AD3" s="16">
        <f>AC3+1</f>
        <v>46292</v>
      </c>
      <c r="AE3" s="16">
        <f t="shared" si="0"/>
        <v>46293</v>
      </c>
      <c r="AF3" s="16">
        <f>AE3+1</f>
        <v>46294</v>
      </c>
      <c r="AG3" s="16">
        <f t="shared" si="0"/>
        <v>46295</v>
      </c>
      <c r="AH3" s="156" t="s">
        <v>353</v>
      </c>
      <c r="AI3" s="222" t="str">
        <f>B3</f>
        <v>2026年
9月</v>
      </c>
      <c r="AJ3" s="223"/>
      <c r="AN3" s="14">
        <v>2026</v>
      </c>
      <c r="AO3" s="14">
        <v>9</v>
      </c>
    </row>
    <row r="4" spans="2:41" ht="25.5" thickBot="1" x14ac:dyDescent="0.25">
      <c r="B4" s="220"/>
      <c r="C4" s="221"/>
      <c r="D4" s="18">
        <f>D3</f>
        <v>46266</v>
      </c>
      <c r="E4" s="18">
        <f t="shared" ref="E4:AE4" si="1">E3</f>
        <v>46267</v>
      </c>
      <c r="F4" s="18">
        <f t="shared" si="1"/>
        <v>46268</v>
      </c>
      <c r="G4" s="18">
        <f t="shared" si="1"/>
        <v>46269</v>
      </c>
      <c r="H4" s="18">
        <f t="shared" si="1"/>
        <v>46270</v>
      </c>
      <c r="I4" s="18">
        <f t="shared" si="1"/>
        <v>46271</v>
      </c>
      <c r="J4" s="18">
        <f t="shared" si="1"/>
        <v>46272</v>
      </c>
      <c r="K4" s="18">
        <f t="shared" si="1"/>
        <v>46273</v>
      </c>
      <c r="L4" s="18">
        <f t="shared" si="1"/>
        <v>46274</v>
      </c>
      <c r="M4" s="18">
        <f t="shared" si="1"/>
        <v>46275</v>
      </c>
      <c r="N4" s="18">
        <f t="shared" si="1"/>
        <v>46276</v>
      </c>
      <c r="O4" s="18">
        <f t="shared" si="1"/>
        <v>46277</v>
      </c>
      <c r="P4" s="18">
        <f t="shared" si="1"/>
        <v>46278</v>
      </c>
      <c r="Q4" s="18">
        <f t="shared" si="1"/>
        <v>46279</v>
      </c>
      <c r="R4" s="18">
        <f t="shared" si="1"/>
        <v>46280</v>
      </c>
      <c r="S4" s="18">
        <f t="shared" si="1"/>
        <v>46281</v>
      </c>
      <c r="T4" s="18">
        <f t="shared" si="1"/>
        <v>46282</v>
      </c>
      <c r="U4" s="18">
        <f t="shared" si="1"/>
        <v>46283</v>
      </c>
      <c r="V4" s="18">
        <f t="shared" si="1"/>
        <v>46284</v>
      </c>
      <c r="W4" s="18">
        <f t="shared" si="1"/>
        <v>46285</v>
      </c>
      <c r="X4" s="19">
        <f t="shared" si="1"/>
        <v>46286</v>
      </c>
      <c r="Y4" s="19">
        <f t="shared" si="1"/>
        <v>46287</v>
      </c>
      <c r="Z4" s="19">
        <f t="shared" si="1"/>
        <v>46288</v>
      </c>
      <c r="AA4" s="18">
        <f t="shared" si="1"/>
        <v>46289</v>
      </c>
      <c r="AB4" s="18">
        <f t="shared" si="1"/>
        <v>46290</v>
      </c>
      <c r="AC4" s="18">
        <f t="shared" si="1"/>
        <v>46291</v>
      </c>
      <c r="AD4" s="18">
        <f t="shared" si="1"/>
        <v>46292</v>
      </c>
      <c r="AE4" s="18">
        <f t="shared" si="1"/>
        <v>46293</v>
      </c>
      <c r="AF4" s="18">
        <f>AF3</f>
        <v>46294</v>
      </c>
      <c r="AG4" s="18">
        <f>AG3</f>
        <v>46295</v>
      </c>
      <c r="AH4" s="157"/>
      <c r="AI4" s="224"/>
      <c r="AJ4" s="225"/>
    </row>
    <row r="5" spans="2:41" ht="41" x14ac:dyDescent="0.2">
      <c r="B5" s="226" t="s">
        <v>75</v>
      </c>
      <c r="C5" s="227"/>
      <c r="D5" s="20" t="s">
        <v>1</v>
      </c>
      <c r="E5" s="21" t="s">
        <v>0</v>
      </c>
      <c r="F5" s="20" t="s">
        <v>1</v>
      </c>
      <c r="G5" s="20" t="s">
        <v>298</v>
      </c>
      <c r="H5" s="20" t="s">
        <v>2</v>
      </c>
      <c r="I5" s="20" t="s">
        <v>1</v>
      </c>
      <c r="J5" s="20" t="s">
        <v>1</v>
      </c>
      <c r="K5" s="23" t="s">
        <v>1</v>
      </c>
      <c r="L5" s="24" t="s">
        <v>1</v>
      </c>
      <c r="M5" s="20" t="s">
        <v>0</v>
      </c>
      <c r="N5" s="20" t="s">
        <v>299</v>
      </c>
      <c r="O5" s="20" t="s">
        <v>2</v>
      </c>
      <c r="P5" s="20" t="s">
        <v>1</v>
      </c>
      <c r="Q5" s="20" t="s">
        <v>3</v>
      </c>
      <c r="R5" s="20" t="s">
        <v>1</v>
      </c>
      <c r="S5" s="20" t="s">
        <v>1</v>
      </c>
      <c r="T5" s="24" t="s">
        <v>0</v>
      </c>
      <c r="U5" s="20"/>
      <c r="V5" s="20" t="s">
        <v>1</v>
      </c>
      <c r="W5" s="20" t="s">
        <v>1</v>
      </c>
      <c r="X5" s="20" t="s">
        <v>426</v>
      </c>
      <c r="Y5" s="24"/>
      <c r="Z5" s="24" t="s">
        <v>2</v>
      </c>
      <c r="AA5" s="20" t="s">
        <v>1</v>
      </c>
      <c r="AB5" s="20" t="s">
        <v>1</v>
      </c>
      <c r="AC5" s="24" t="s">
        <v>587</v>
      </c>
      <c r="AD5" s="20" t="s">
        <v>3</v>
      </c>
      <c r="AE5" s="24" t="s">
        <v>1</v>
      </c>
      <c r="AF5" s="20"/>
      <c r="AG5" s="24" t="s">
        <v>1</v>
      </c>
      <c r="AH5" s="158"/>
      <c r="AI5" s="228" t="s">
        <v>75</v>
      </c>
      <c r="AJ5" s="229"/>
    </row>
    <row r="6" spans="2:41" ht="20.5" x14ac:dyDescent="0.2">
      <c r="B6" s="226"/>
      <c r="C6" s="227"/>
      <c r="D6" s="20" t="s">
        <v>1</v>
      </c>
      <c r="E6" s="25" t="s">
        <v>1</v>
      </c>
      <c r="F6" s="23" t="s">
        <v>1</v>
      </c>
      <c r="G6" s="23" t="s">
        <v>1</v>
      </c>
      <c r="H6" s="20" t="s">
        <v>1</v>
      </c>
      <c r="I6" s="20" t="s">
        <v>1</v>
      </c>
      <c r="J6" s="24" t="s">
        <v>1</v>
      </c>
      <c r="K6" s="24" t="s">
        <v>1</v>
      </c>
      <c r="L6" s="24" t="s">
        <v>1</v>
      </c>
      <c r="M6" s="23" t="s">
        <v>1</v>
      </c>
      <c r="N6" s="20"/>
      <c r="O6" s="20" t="s">
        <v>1</v>
      </c>
      <c r="P6" s="20"/>
      <c r="Q6" s="24" t="s">
        <v>1</v>
      </c>
      <c r="R6" s="23" t="s">
        <v>1</v>
      </c>
      <c r="S6" s="24" t="s">
        <v>1</v>
      </c>
      <c r="T6" s="25" t="s">
        <v>1</v>
      </c>
      <c r="U6" s="20" t="s">
        <v>1</v>
      </c>
      <c r="V6" s="20" t="s">
        <v>1</v>
      </c>
      <c r="W6" s="20"/>
      <c r="X6" s="20" t="s">
        <v>1</v>
      </c>
      <c r="Y6" s="24" t="s">
        <v>1</v>
      </c>
      <c r="Z6" s="24"/>
      <c r="AA6" s="24" t="s">
        <v>1</v>
      </c>
      <c r="AB6" s="24" t="s">
        <v>1</v>
      </c>
      <c r="AC6" s="24" t="s">
        <v>588</v>
      </c>
      <c r="AD6" s="25" t="s">
        <v>1</v>
      </c>
      <c r="AE6" s="25" t="s">
        <v>1</v>
      </c>
      <c r="AF6" s="23" t="s">
        <v>1</v>
      </c>
      <c r="AG6" s="25" t="s">
        <v>1</v>
      </c>
      <c r="AH6" s="159"/>
      <c r="AI6" s="228"/>
      <c r="AJ6" s="229"/>
    </row>
    <row r="7" spans="2:41" ht="21" thickBot="1" x14ac:dyDescent="0.25">
      <c r="B7" s="213" t="s">
        <v>76</v>
      </c>
      <c r="C7" s="214"/>
      <c r="D7" s="27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160"/>
      <c r="AI7" s="215" t="s">
        <v>76</v>
      </c>
      <c r="AJ7" s="216"/>
    </row>
    <row r="8" spans="2:41" ht="78" customHeight="1" x14ac:dyDescent="0.2">
      <c r="B8" s="29" t="s">
        <v>354</v>
      </c>
      <c r="C8" s="30"/>
      <c r="D8" s="123" t="s">
        <v>4</v>
      </c>
      <c r="E8" s="123" t="s">
        <v>4</v>
      </c>
      <c r="F8" s="124" t="s">
        <v>4</v>
      </c>
      <c r="G8" s="115" t="s">
        <v>434</v>
      </c>
      <c r="H8" s="117" t="s">
        <v>5</v>
      </c>
      <c r="I8" s="116" t="s">
        <v>8</v>
      </c>
      <c r="J8" s="118" t="s">
        <v>4</v>
      </c>
      <c r="K8" s="115" t="s">
        <v>431</v>
      </c>
      <c r="L8" s="115" t="s">
        <v>432</v>
      </c>
      <c r="M8" s="116" t="s">
        <v>4</v>
      </c>
      <c r="N8" s="115" t="s">
        <v>560</v>
      </c>
      <c r="O8" s="117" t="s">
        <v>5</v>
      </c>
      <c r="P8" s="115" t="s">
        <v>6</v>
      </c>
      <c r="Q8" s="115" t="s">
        <v>7</v>
      </c>
      <c r="R8" s="118" t="s">
        <v>4</v>
      </c>
      <c r="S8" s="115" t="s">
        <v>434</v>
      </c>
      <c r="T8" s="115" t="s">
        <v>431</v>
      </c>
      <c r="U8" s="118" t="s">
        <v>4</v>
      </c>
      <c r="V8" s="115" t="s">
        <v>6</v>
      </c>
      <c r="W8" s="115" t="s">
        <v>7</v>
      </c>
      <c r="X8" s="32" t="s">
        <v>340</v>
      </c>
      <c r="Y8" s="117" t="s">
        <v>5</v>
      </c>
      <c r="Z8" s="117" t="s">
        <v>5</v>
      </c>
      <c r="AA8" s="116" t="s">
        <v>4</v>
      </c>
      <c r="AB8" s="115" t="s">
        <v>432</v>
      </c>
      <c r="AC8" s="117" t="s">
        <v>5</v>
      </c>
      <c r="AD8" s="117" t="s">
        <v>5</v>
      </c>
      <c r="AE8" s="116" t="s">
        <v>4</v>
      </c>
      <c r="AF8" s="116" t="s">
        <v>4</v>
      </c>
      <c r="AG8" s="115" t="s">
        <v>432</v>
      </c>
      <c r="AH8" s="161"/>
      <c r="AI8" s="29" t="s">
        <v>354</v>
      </c>
      <c r="AJ8" s="30"/>
    </row>
    <row r="9" spans="2:41" ht="59.5" customHeight="1" x14ac:dyDescent="0.2">
      <c r="B9" s="41" t="s">
        <v>355</v>
      </c>
      <c r="C9" s="42"/>
      <c r="D9" s="120" t="s">
        <v>7</v>
      </c>
      <c r="E9" s="119" t="s">
        <v>5</v>
      </c>
      <c r="F9" s="120" t="s">
        <v>6</v>
      </c>
      <c r="G9" s="120" t="s">
        <v>7</v>
      </c>
      <c r="H9" s="124" t="s">
        <v>8</v>
      </c>
      <c r="I9" s="117" t="s">
        <v>5</v>
      </c>
      <c r="J9" s="116" t="s">
        <v>8</v>
      </c>
      <c r="K9" s="118" t="s">
        <v>8</v>
      </c>
      <c r="L9" s="117" t="s">
        <v>5</v>
      </c>
      <c r="M9" s="115" t="s">
        <v>6</v>
      </c>
      <c r="N9" s="115" t="s">
        <v>7</v>
      </c>
      <c r="O9" s="115" t="s">
        <v>6</v>
      </c>
      <c r="P9" s="115" t="s">
        <v>7</v>
      </c>
      <c r="Q9" s="118" t="s">
        <v>8</v>
      </c>
      <c r="R9" s="116" t="s">
        <v>8</v>
      </c>
      <c r="S9" s="118" t="s">
        <v>8</v>
      </c>
      <c r="T9" s="116" t="s">
        <v>8</v>
      </c>
      <c r="U9" s="32" t="s">
        <v>340</v>
      </c>
      <c r="V9" s="116" t="s">
        <v>8</v>
      </c>
      <c r="W9" s="118" t="s">
        <v>8</v>
      </c>
      <c r="X9" s="117" t="s">
        <v>358</v>
      </c>
      <c r="Y9" s="117" t="s">
        <v>5</v>
      </c>
      <c r="Z9" s="115" t="s">
        <v>6</v>
      </c>
      <c r="AA9" s="115" t="s">
        <v>7</v>
      </c>
      <c r="AB9" s="115" t="s">
        <v>6</v>
      </c>
      <c r="AC9" s="115" t="s">
        <v>7</v>
      </c>
      <c r="AD9" s="118" t="s">
        <v>8</v>
      </c>
      <c r="AE9" s="120" t="s">
        <v>6</v>
      </c>
      <c r="AF9" s="120" t="s">
        <v>7</v>
      </c>
      <c r="AG9" s="119" t="s">
        <v>5</v>
      </c>
      <c r="AH9" s="161"/>
      <c r="AI9" s="41" t="s">
        <v>355</v>
      </c>
      <c r="AJ9" s="42"/>
    </row>
    <row r="10" spans="2:41" ht="75" customHeight="1" x14ac:dyDescent="0.2">
      <c r="B10" s="41" t="s">
        <v>87</v>
      </c>
      <c r="C10" s="42"/>
      <c r="D10" s="117" t="s">
        <v>335</v>
      </c>
      <c r="E10" s="116" t="s">
        <v>8</v>
      </c>
      <c r="F10" s="116" t="s">
        <v>8</v>
      </c>
      <c r="G10" s="126" t="s">
        <v>356</v>
      </c>
      <c r="H10" s="115" t="s">
        <v>7</v>
      </c>
      <c r="I10" s="117" t="s">
        <v>358</v>
      </c>
      <c r="J10" s="115" t="s">
        <v>6</v>
      </c>
      <c r="K10" s="115" t="s">
        <v>7</v>
      </c>
      <c r="L10" s="118" t="s">
        <v>8</v>
      </c>
      <c r="M10" s="118" t="s">
        <v>8</v>
      </c>
      <c r="N10" s="115" t="s">
        <v>6</v>
      </c>
      <c r="O10" s="115" t="s">
        <v>7</v>
      </c>
      <c r="P10" s="32" t="s">
        <v>340</v>
      </c>
      <c r="Q10" s="115" t="s">
        <v>6</v>
      </c>
      <c r="R10" s="116" t="s">
        <v>436</v>
      </c>
      <c r="S10" s="117" t="s">
        <v>335</v>
      </c>
      <c r="T10" s="115" t="s">
        <v>6</v>
      </c>
      <c r="U10" s="115" t="s">
        <v>7</v>
      </c>
      <c r="V10" s="117" t="s">
        <v>5</v>
      </c>
      <c r="W10" s="117" t="s">
        <v>5</v>
      </c>
      <c r="X10" s="115" t="s">
        <v>6</v>
      </c>
      <c r="Y10" s="115" t="s">
        <v>7</v>
      </c>
      <c r="Z10" s="116" t="s">
        <v>8</v>
      </c>
      <c r="AA10" s="117" t="s">
        <v>5</v>
      </c>
      <c r="AB10" s="118" t="s">
        <v>8</v>
      </c>
      <c r="AC10" s="115" t="s">
        <v>6</v>
      </c>
      <c r="AD10" s="116" t="s">
        <v>436</v>
      </c>
      <c r="AE10" s="117" t="s">
        <v>335</v>
      </c>
      <c r="AF10" s="118" t="s">
        <v>8</v>
      </c>
      <c r="AG10" s="116" t="s">
        <v>8</v>
      </c>
      <c r="AH10" s="162"/>
      <c r="AI10" s="41" t="s">
        <v>87</v>
      </c>
      <c r="AJ10" s="42"/>
    </row>
    <row r="11" spans="2:41" ht="70.5" customHeight="1" x14ac:dyDescent="0.2">
      <c r="B11" s="41" t="s">
        <v>9</v>
      </c>
      <c r="C11" s="42"/>
      <c r="D11" s="116" t="s">
        <v>561</v>
      </c>
      <c r="E11" s="115" t="s">
        <v>339</v>
      </c>
      <c r="F11" s="115" t="s">
        <v>7</v>
      </c>
      <c r="G11" s="117" t="s">
        <v>5</v>
      </c>
      <c r="H11" s="117" t="s">
        <v>358</v>
      </c>
      <c r="I11" s="115" t="s">
        <v>6</v>
      </c>
      <c r="J11" s="115" t="s">
        <v>7</v>
      </c>
      <c r="K11" s="179" t="s">
        <v>5</v>
      </c>
      <c r="L11" s="115" t="s">
        <v>339</v>
      </c>
      <c r="M11" s="115" t="s">
        <v>7</v>
      </c>
      <c r="N11" s="116" t="s">
        <v>562</v>
      </c>
      <c r="O11" s="118" t="s">
        <v>8</v>
      </c>
      <c r="P11" s="118" t="s">
        <v>8</v>
      </c>
      <c r="Q11" s="117" t="s">
        <v>5</v>
      </c>
      <c r="R11" s="117" t="s">
        <v>5</v>
      </c>
      <c r="S11" s="115" t="s">
        <v>339</v>
      </c>
      <c r="T11" s="115" t="s">
        <v>7</v>
      </c>
      <c r="U11" s="126" t="s">
        <v>356</v>
      </c>
      <c r="V11" s="115" t="s">
        <v>7</v>
      </c>
      <c r="W11" s="116" t="s">
        <v>4</v>
      </c>
      <c r="X11" s="116" t="s">
        <v>8</v>
      </c>
      <c r="Y11" s="116" t="s">
        <v>8</v>
      </c>
      <c r="Z11" s="117" t="s">
        <v>5</v>
      </c>
      <c r="AA11" s="118" t="s">
        <v>8</v>
      </c>
      <c r="AB11" s="32" t="s">
        <v>340</v>
      </c>
      <c r="AC11" s="118" t="s">
        <v>8</v>
      </c>
      <c r="AD11" s="115" t="s">
        <v>6</v>
      </c>
      <c r="AE11" s="120" t="s">
        <v>7</v>
      </c>
      <c r="AF11" s="119" t="s">
        <v>5</v>
      </c>
      <c r="AG11" s="120" t="s">
        <v>339</v>
      </c>
      <c r="AH11" s="161"/>
      <c r="AI11" s="41" t="s">
        <v>9</v>
      </c>
      <c r="AJ11" s="42"/>
    </row>
    <row r="12" spans="2:41" ht="59" customHeight="1" x14ac:dyDescent="0.3">
      <c r="B12" s="41" t="s">
        <v>88</v>
      </c>
      <c r="C12" s="42"/>
      <c r="D12" s="120" t="s">
        <v>339</v>
      </c>
      <c r="E12" s="120" t="s">
        <v>7</v>
      </c>
      <c r="F12" s="123" t="s">
        <v>4</v>
      </c>
      <c r="G12" s="124" t="s">
        <v>4</v>
      </c>
      <c r="H12" s="123" t="s" ph="1">
        <v>4</v>
      </c>
      <c r="I12" s="123" t="s">
        <v>4</v>
      </c>
      <c r="J12" s="124" t="s">
        <v>4</v>
      </c>
      <c r="K12" s="120" t="s">
        <v>339</v>
      </c>
      <c r="L12" s="120" t="s">
        <v>7</v>
      </c>
      <c r="M12" s="119" t="s">
        <v>5</v>
      </c>
      <c r="N12" s="124" t="s">
        <v>4</v>
      </c>
      <c r="O12" s="32" t="s">
        <v>563</v>
      </c>
      <c r="P12" s="116" t="s">
        <v>4</v>
      </c>
      <c r="Q12" s="32" t="s">
        <v>340</v>
      </c>
      <c r="R12" s="115" t="s">
        <v>339</v>
      </c>
      <c r="S12" s="115" t="s">
        <v>7</v>
      </c>
      <c r="T12" s="118" t="s">
        <v>4</v>
      </c>
      <c r="U12" s="116" t="s">
        <v>4</v>
      </c>
      <c r="V12" s="117" t="s">
        <v>5</v>
      </c>
      <c r="W12" s="117" t="s">
        <v>5</v>
      </c>
      <c r="X12" s="117" t="s">
        <v>5</v>
      </c>
      <c r="Y12" s="115" t="s">
        <v>339</v>
      </c>
      <c r="Z12" s="115" t="s">
        <v>7</v>
      </c>
      <c r="AA12" s="118" t="s">
        <v>4</v>
      </c>
      <c r="AB12" s="124" t="s">
        <v>4</v>
      </c>
      <c r="AC12" s="119" t="s">
        <v>5</v>
      </c>
      <c r="AD12" s="124" t="s">
        <v>4</v>
      </c>
      <c r="AE12" s="123" t="s">
        <v>8</v>
      </c>
      <c r="AF12" s="120" t="s">
        <v>339</v>
      </c>
      <c r="AG12" s="120" t="s">
        <v>7</v>
      </c>
      <c r="AH12" s="163"/>
      <c r="AI12" s="41" t="s">
        <v>88</v>
      </c>
      <c r="AJ12" s="42"/>
    </row>
    <row r="13" spans="2:41" ht="87" customHeight="1" x14ac:dyDescent="0.2">
      <c r="B13" s="41" t="s">
        <v>89</v>
      </c>
      <c r="C13" s="42"/>
      <c r="D13" s="123" t="s">
        <v>4</v>
      </c>
      <c r="E13" s="116" t="s">
        <v>550</v>
      </c>
      <c r="F13" s="115" t="s">
        <v>10</v>
      </c>
      <c r="G13" s="115" t="s">
        <v>7</v>
      </c>
      <c r="H13" s="115" t="s">
        <v>6</v>
      </c>
      <c r="I13" s="115" t="s">
        <v>7</v>
      </c>
      <c r="J13" s="118" t="s">
        <v>4</v>
      </c>
      <c r="K13" s="118" t="s">
        <v>4</v>
      </c>
      <c r="L13" s="115" t="s">
        <v>10</v>
      </c>
      <c r="M13" s="115" t="s">
        <v>7</v>
      </c>
      <c r="N13" s="117" t="s">
        <v>5</v>
      </c>
      <c r="O13" s="116" t="s">
        <v>4</v>
      </c>
      <c r="P13" s="117" t="s">
        <v>358</v>
      </c>
      <c r="Q13" s="116" t="s">
        <v>4</v>
      </c>
      <c r="R13" s="116" t="s">
        <v>564</v>
      </c>
      <c r="S13" s="118" t="s">
        <v>4</v>
      </c>
      <c r="T13" s="117" t="s">
        <v>5</v>
      </c>
      <c r="U13" s="116" t="s">
        <v>565</v>
      </c>
      <c r="V13" s="117" t="s">
        <v>5</v>
      </c>
      <c r="W13" s="179" t="s">
        <v>556</v>
      </c>
      <c r="X13" s="115" t="s">
        <v>7</v>
      </c>
      <c r="Y13" s="117" t="s">
        <v>5</v>
      </c>
      <c r="Z13" s="117" t="s">
        <v>5</v>
      </c>
      <c r="AA13" s="120" t="s">
        <v>6</v>
      </c>
      <c r="AB13" s="120" t="s">
        <v>7</v>
      </c>
      <c r="AC13" s="124" t="s">
        <v>4</v>
      </c>
      <c r="AD13" s="32" t="s">
        <v>340</v>
      </c>
      <c r="AE13" s="120" t="s">
        <v>10</v>
      </c>
      <c r="AF13" s="120" t="s">
        <v>7</v>
      </c>
      <c r="AG13" s="123" t="s">
        <v>4</v>
      </c>
      <c r="AH13" s="161"/>
      <c r="AI13" s="41" t="s">
        <v>89</v>
      </c>
      <c r="AJ13" s="42"/>
    </row>
    <row r="14" spans="2:41" ht="84" customHeight="1" x14ac:dyDescent="0.2">
      <c r="B14" s="41" t="s">
        <v>90</v>
      </c>
      <c r="C14" s="42"/>
      <c r="D14" s="120" t="s">
        <v>7</v>
      </c>
      <c r="E14" s="117" t="s">
        <v>5</v>
      </c>
      <c r="F14" s="116" t="s">
        <v>4</v>
      </c>
      <c r="G14" s="115" t="s">
        <v>362</v>
      </c>
      <c r="H14" s="118" t="s">
        <v>4</v>
      </c>
      <c r="I14" s="117" t="s">
        <v>5</v>
      </c>
      <c r="J14" s="179" t="s">
        <v>5</v>
      </c>
      <c r="K14" s="115" t="s">
        <v>10</v>
      </c>
      <c r="L14" s="115" t="s">
        <v>7</v>
      </c>
      <c r="M14" s="118" t="s">
        <v>4</v>
      </c>
      <c r="N14" s="115" t="s">
        <v>10</v>
      </c>
      <c r="O14" s="115" t="s">
        <v>7</v>
      </c>
      <c r="P14" s="117" t="s">
        <v>5</v>
      </c>
      <c r="Q14" s="115" t="s">
        <v>10</v>
      </c>
      <c r="R14" s="115" t="s">
        <v>7</v>
      </c>
      <c r="S14" s="117" t="s">
        <v>5</v>
      </c>
      <c r="T14" s="116" t="s">
        <v>4</v>
      </c>
      <c r="U14" s="32" t="s">
        <v>340</v>
      </c>
      <c r="V14" s="115" t="s">
        <v>10</v>
      </c>
      <c r="W14" s="115" t="s">
        <v>7</v>
      </c>
      <c r="X14" s="179" t="s">
        <v>357</v>
      </c>
      <c r="Y14" s="115" t="s">
        <v>7</v>
      </c>
      <c r="Z14" s="118" t="s">
        <v>4</v>
      </c>
      <c r="AA14" s="117" t="s">
        <v>5</v>
      </c>
      <c r="AB14" s="118" t="s">
        <v>4</v>
      </c>
      <c r="AC14" s="116" t="s">
        <v>495</v>
      </c>
      <c r="AD14" s="115" t="s">
        <v>7</v>
      </c>
      <c r="AE14" s="116" t="s">
        <v>4</v>
      </c>
      <c r="AF14" s="123" t="s">
        <v>4</v>
      </c>
      <c r="AG14" s="124" t="s">
        <v>4</v>
      </c>
      <c r="AH14" s="161"/>
      <c r="AI14" s="41" t="s">
        <v>90</v>
      </c>
      <c r="AJ14" s="42"/>
    </row>
    <row r="15" spans="2:41" ht="66.5" customHeight="1" x14ac:dyDescent="0.2">
      <c r="B15" s="41" t="s">
        <v>91</v>
      </c>
      <c r="C15" s="42"/>
      <c r="D15" s="116" t="s">
        <v>566</v>
      </c>
      <c r="E15" s="179" t="s">
        <v>357</v>
      </c>
      <c r="F15" s="115" t="s">
        <v>7</v>
      </c>
      <c r="G15" s="117" t="s">
        <v>5</v>
      </c>
      <c r="H15" s="115" t="s">
        <v>10</v>
      </c>
      <c r="I15" s="115" t="s">
        <v>7</v>
      </c>
      <c r="J15" s="115" t="s">
        <v>10</v>
      </c>
      <c r="K15" s="115" t="s">
        <v>7</v>
      </c>
      <c r="L15" s="118" t="s">
        <v>4</v>
      </c>
      <c r="M15" s="115" t="s">
        <v>10</v>
      </c>
      <c r="N15" s="115" t="s">
        <v>7</v>
      </c>
      <c r="O15" s="118" t="s">
        <v>4</v>
      </c>
      <c r="P15" s="118" t="s">
        <v>4</v>
      </c>
      <c r="Q15" s="116" t="s">
        <v>4</v>
      </c>
      <c r="R15" s="118" t="s">
        <v>4</v>
      </c>
      <c r="S15" s="117" t="s">
        <v>5</v>
      </c>
      <c r="T15" s="117" t="s">
        <v>5</v>
      </c>
      <c r="U15" s="117" t="s">
        <v>5</v>
      </c>
      <c r="V15" s="116" t="s">
        <v>4</v>
      </c>
      <c r="W15" s="115" t="s">
        <v>10</v>
      </c>
      <c r="X15" s="115" t="s">
        <v>7</v>
      </c>
      <c r="Y15" s="152" t="s">
        <v>4</v>
      </c>
      <c r="Z15" s="115" t="s">
        <v>10</v>
      </c>
      <c r="AA15" s="115" t="s">
        <v>7</v>
      </c>
      <c r="AB15" s="115" t="s">
        <v>500</v>
      </c>
      <c r="AC15" s="32" t="s">
        <v>96</v>
      </c>
      <c r="AD15" s="32" t="s">
        <v>567</v>
      </c>
      <c r="AE15" s="32" t="s">
        <v>567</v>
      </c>
      <c r="AF15" s="32" t="s">
        <v>340</v>
      </c>
      <c r="AG15" s="32" t="s">
        <v>340</v>
      </c>
      <c r="AH15" s="161"/>
      <c r="AI15" s="41" t="s">
        <v>91</v>
      </c>
      <c r="AJ15" s="42"/>
    </row>
    <row r="16" spans="2:41" ht="59" customHeight="1" x14ac:dyDescent="0.2">
      <c r="B16" s="41" t="s">
        <v>92</v>
      </c>
      <c r="C16" s="42"/>
      <c r="D16" s="120" t="s">
        <v>10</v>
      </c>
      <c r="E16" s="120" t="s">
        <v>7</v>
      </c>
      <c r="F16" s="180" t="s">
        <v>5</v>
      </c>
      <c r="G16" s="120" t="s">
        <v>10</v>
      </c>
      <c r="H16" s="120" t="s">
        <v>7</v>
      </c>
      <c r="I16" s="149" t="s">
        <v>492</v>
      </c>
      <c r="J16" s="149" t="s">
        <v>492</v>
      </c>
      <c r="K16" s="149" t="s">
        <v>492</v>
      </c>
      <c r="L16" s="149" t="s">
        <v>492</v>
      </c>
      <c r="M16" s="149" t="s">
        <v>492</v>
      </c>
      <c r="N16" s="115" t="s">
        <v>557</v>
      </c>
      <c r="O16" s="115" t="s">
        <v>557</v>
      </c>
      <c r="P16" s="115" t="s">
        <v>557</v>
      </c>
      <c r="Q16" s="115" t="s">
        <v>557</v>
      </c>
      <c r="R16" s="115" t="s">
        <v>557</v>
      </c>
      <c r="S16" s="117" t="s">
        <v>5</v>
      </c>
      <c r="T16" s="115" t="s">
        <v>10</v>
      </c>
      <c r="U16" s="120" t="s">
        <v>7</v>
      </c>
      <c r="V16" s="123" t="s">
        <v>4</v>
      </c>
      <c r="W16" s="119" t="s">
        <v>5</v>
      </c>
      <c r="X16" s="119" t="s">
        <v>5</v>
      </c>
      <c r="Y16" s="123" t="s">
        <v>4</v>
      </c>
      <c r="Z16" s="123" t="s">
        <v>4</v>
      </c>
      <c r="AA16" s="123" t="s">
        <v>4</v>
      </c>
      <c r="AB16" s="120" t="s">
        <v>557</v>
      </c>
      <c r="AC16" s="181" t="s">
        <v>360</v>
      </c>
      <c r="AD16" s="120" t="s">
        <v>10</v>
      </c>
      <c r="AE16" s="120" t="s">
        <v>7</v>
      </c>
      <c r="AF16" s="123" t="s">
        <v>4</v>
      </c>
      <c r="AG16" s="120" t="s">
        <v>10</v>
      </c>
      <c r="AH16" s="161"/>
      <c r="AI16" s="41" t="s">
        <v>92</v>
      </c>
      <c r="AJ16" s="42"/>
    </row>
    <row r="17" spans="2:36" ht="60" customHeight="1" x14ac:dyDescent="0.2">
      <c r="B17" s="41" t="s">
        <v>11</v>
      </c>
      <c r="C17" s="42"/>
      <c r="D17" s="149" t="s">
        <v>492</v>
      </c>
      <c r="E17" s="149" t="s">
        <v>492</v>
      </c>
      <c r="F17" s="149" t="s">
        <v>492</v>
      </c>
      <c r="G17" s="117" t="s">
        <v>5</v>
      </c>
      <c r="H17" s="117" t="s">
        <v>5</v>
      </c>
      <c r="I17" s="180" t="s">
        <v>357</v>
      </c>
      <c r="J17" s="120" t="s">
        <v>7</v>
      </c>
      <c r="K17" s="124" t="s">
        <v>4</v>
      </c>
      <c r="L17" s="123" t="s">
        <v>4</v>
      </c>
      <c r="M17" s="123" t="s">
        <v>4</v>
      </c>
      <c r="N17" s="124" t="s">
        <v>4</v>
      </c>
      <c r="O17" s="120" t="s">
        <v>10</v>
      </c>
      <c r="P17" s="120" t="s">
        <v>7</v>
      </c>
      <c r="Q17" s="119" t="s">
        <v>5</v>
      </c>
      <c r="R17" s="119" t="s">
        <v>5</v>
      </c>
      <c r="S17" s="123" t="s">
        <v>4</v>
      </c>
      <c r="T17" s="119" t="s">
        <v>5</v>
      </c>
      <c r="U17" s="120" t="s">
        <v>10</v>
      </c>
      <c r="V17" s="120" t="s">
        <v>7</v>
      </c>
      <c r="W17" s="119" t="s">
        <v>5</v>
      </c>
      <c r="X17" s="123" t="s">
        <v>4</v>
      </c>
      <c r="Y17" s="120" t="s">
        <v>10</v>
      </c>
      <c r="Z17" s="120" t="s">
        <v>7</v>
      </c>
      <c r="AA17" s="120" t="s">
        <v>10</v>
      </c>
      <c r="AB17" s="120" t="s">
        <v>7</v>
      </c>
      <c r="AC17" s="120" t="s">
        <v>10</v>
      </c>
      <c r="AD17" s="120" t="s">
        <v>7</v>
      </c>
      <c r="AE17" s="123" t="s">
        <v>4</v>
      </c>
      <c r="AF17" s="120" t="s">
        <v>10</v>
      </c>
      <c r="AG17" s="120" t="s">
        <v>7</v>
      </c>
      <c r="AH17" s="164"/>
      <c r="AI17" s="41" t="s">
        <v>11</v>
      </c>
      <c r="AJ17" s="42"/>
    </row>
    <row r="18" spans="2:36" ht="68" customHeight="1" x14ac:dyDescent="0.3">
      <c r="B18" s="41" t="s">
        <v>93</v>
      </c>
      <c r="C18" s="42"/>
      <c r="D18" s="135"/>
      <c r="E18" s="135"/>
      <c r="F18" s="120"/>
      <c r="G18" s="120"/>
      <c r="H18" s="135"/>
      <c r="I18" s="135"/>
      <c r="J18" s="120"/>
      <c r="K18" s="120"/>
      <c r="L18" s="135"/>
      <c r="M18" s="135"/>
      <c r="N18" s="135"/>
      <c r="O18" s="135"/>
      <c r="P18" s="120" t="s">
        <v>446</v>
      </c>
      <c r="Q18" s="120" t="s">
        <v>7</v>
      </c>
      <c r="R18" s="120" t="s">
        <v>445</v>
      </c>
      <c r="S18" s="82" t="s">
        <v>445</v>
      </c>
      <c r="T18" s="120" t="s">
        <v>7</v>
      </c>
      <c r="U18" s="135"/>
      <c r="V18" s="135"/>
      <c r="W18" s="120"/>
      <c r="X18" s="120"/>
      <c r="Y18" s="135"/>
      <c r="Z18" s="135"/>
      <c r="AA18" s="135"/>
      <c r="AB18" s="135"/>
      <c r="AC18" s="136"/>
      <c r="AD18" s="135"/>
      <c r="AE18" s="135"/>
      <c r="AF18" s="135"/>
      <c r="AG18" s="135"/>
      <c r="AH18" s="165"/>
      <c r="AI18" s="41" t="s">
        <v>93</v>
      </c>
      <c r="AJ18" s="42"/>
    </row>
    <row r="19" spans="2:36" ht="60" customHeight="1" thickBot="1" x14ac:dyDescent="0.25">
      <c r="B19" s="41" t="s">
        <v>558</v>
      </c>
      <c r="C19" s="42"/>
      <c r="D19" s="36" t="s">
        <v>4</v>
      </c>
      <c r="E19" s="107" t="s">
        <v>4</v>
      </c>
      <c r="F19" s="107" t="s">
        <v>4</v>
      </c>
      <c r="G19" s="107" t="s">
        <v>4</v>
      </c>
      <c r="H19" s="107" t="s">
        <v>366</v>
      </c>
      <c r="I19" s="107" t="s">
        <v>366</v>
      </c>
      <c r="J19" s="36" t="s">
        <v>4</v>
      </c>
      <c r="K19" s="36" t="s">
        <v>368</v>
      </c>
      <c r="L19" s="107" t="s">
        <v>4</v>
      </c>
      <c r="M19" s="155" t="s">
        <v>555</v>
      </c>
      <c r="N19" s="36" t="s">
        <v>365</v>
      </c>
      <c r="O19" s="36" t="s">
        <v>366</v>
      </c>
      <c r="P19" s="36" t="s">
        <v>366</v>
      </c>
      <c r="Q19" s="108" t="s">
        <v>4</v>
      </c>
      <c r="R19" s="36" t="s">
        <v>368</v>
      </c>
      <c r="S19" s="107" t="s">
        <v>4</v>
      </c>
      <c r="T19" s="107" t="s">
        <v>4</v>
      </c>
      <c r="U19" s="36" t="s">
        <v>4</v>
      </c>
      <c r="V19" s="36" t="s">
        <v>366</v>
      </c>
      <c r="W19" s="36" t="s">
        <v>366</v>
      </c>
      <c r="X19" s="107" t="s">
        <v>503</v>
      </c>
      <c r="Y19" s="182" t="s">
        <v>559</v>
      </c>
      <c r="Z19" s="183" t="s">
        <v>559</v>
      </c>
      <c r="AA19" s="107" t="s">
        <v>365</v>
      </c>
      <c r="AB19" s="107" t="s">
        <v>4</v>
      </c>
      <c r="AC19" s="36" t="s">
        <v>366</v>
      </c>
      <c r="AD19" s="36" t="s">
        <v>366</v>
      </c>
      <c r="AE19" s="36" t="s">
        <v>4</v>
      </c>
      <c r="AF19" s="36" t="s">
        <v>4</v>
      </c>
      <c r="AG19" s="107" t="s">
        <v>4</v>
      </c>
      <c r="AH19" s="166"/>
      <c r="AI19" s="41" t="s">
        <v>558</v>
      </c>
      <c r="AJ19" s="42"/>
    </row>
    <row r="20" spans="2:36" ht="18.5" x14ac:dyDescent="0.2">
      <c r="B20" s="230" t="s">
        <v>77</v>
      </c>
      <c r="C20" s="233" t="s">
        <v>78</v>
      </c>
      <c r="D20" s="52"/>
      <c r="E20" s="54"/>
      <c r="F20" s="54"/>
      <c r="G20" s="54"/>
      <c r="H20" s="54" t="s">
        <v>121</v>
      </c>
      <c r="I20" s="54" t="s">
        <v>183</v>
      </c>
      <c r="J20" s="52"/>
      <c r="K20" s="54"/>
      <c r="L20" s="54"/>
      <c r="M20" s="54"/>
      <c r="N20" s="54"/>
      <c r="O20" s="52" t="s">
        <v>142</v>
      </c>
      <c r="P20" s="54" t="s">
        <v>170</v>
      </c>
      <c r="Q20" s="54"/>
      <c r="R20" s="54"/>
      <c r="S20" s="52"/>
      <c r="T20" s="54"/>
      <c r="U20" s="52"/>
      <c r="V20" s="54" t="s">
        <v>130</v>
      </c>
      <c r="W20" s="54" t="s">
        <v>121</v>
      </c>
      <c r="X20" s="53" t="s">
        <v>142</v>
      </c>
      <c r="Y20" s="53" t="s">
        <v>111</v>
      </c>
      <c r="Z20" s="53" t="s">
        <v>158</v>
      </c>
      <c r="AA20" s="54"/>
      <c r="AB20" s="54"/>
      <c r="AC20" s="54" t="s">
        <v>183</v>
      </c>
      <c r="AD20" s="54" t="s">
        <v>158</v>
      </c>
      <c r="AE20" s="52"/>
      <c r="AF20" s="54"/>
      <c r="AG20" s="54"/>
      <c r="AH20" s="167"/>
      <c r="AI20" s="235" t="s">
        <v>78</v>
      </c>
      <c r="AJ20" s="237" t="s">
        <v>77</v>
      </c>
    </row>
    <row r="21" spans="2:36" ht="18.5" x14ac:dyDescent="0.2">
      <c r="B21" s="231"/>
      <c r="C21" s="234"/>
      <c r="D21" s="55" t="s">
        <v>1</v>
      </c>
      <c r="E21" s="57" t="s">
        <v>1</v>
      </c>
      <c r="F21" s="57" t="s">
        <v>1</v>
      </c>
      <c r="G21" s="57" t="s">
        <v>1</v>
      </c>
      <c r="H21" s="57" t="s">
        <v>1</v>
      </c>
      <c r="I21" s="57" t="s">
        <v>1</v>
      </c>
      <c r="J21" s="55" t="s">
        <v>1</v>
      </c>
      <c r="K21" s="55" t="s">
        <v>1</v>
      </c>
      <c r="L21" s="57" t="s">
        <v>1</v>
      </c>
      <c r="M21" s="57" t="s">
        <v>1</v>
      </c>
      <c r="N21" s="57" t="s">
        <v>1</v>
      </c>
      <c r="O21" s="55" t="s">
        <v>1</v>
      </c>
      <c r="P21" s="55" t="s">
        <v>1</v>
      </c>
      <c r="Q21" s="55" t="s">
        <v>1</v>
      </c>
      <c r="R21" s="57" t="s">
        <v>1</v>
      </c>
      <c r="S21" s="57" t="s">
        <v>1</v>
      </c>
      <c r="T21" s="57" t="s">
        <v>1</v>
      </c>
      <c r="U21" s="57" t="s">
        <v>1</v>
      </c>
      <c r="V21" s="57" t="s">
        <v>1</v>
      </c>
      <c r="W21" s="57" t="s">
        <v>1</v>
      </c>
      <c r="X21" s="56" t="s">
        <v>1</v>
      </c>
      <c r="Y21" s="56" t="s">
        <v>1</v>
      </c>
      <c r="Z21" s="56" t="s">
        <v>1</v>
      </c>
      <c r="AA21" s="57" t="s">
        <v>1</v>
      </c>
      <c r="AB21" s="57" t="s">
        <v>1</v>
      </c>
      <c r="AC21" s="57" t="s">
        <v>1</v>
      </c>
      <c r="AD21" s="57" t="s">
        <v>1</v>
      </c>
      <c r="AE21" s="57" t="s">
        <v>1</v>
      </c>
      <c r="AF21" s="57" t="s">
        <v>1</v>
      </c>
      <c r="AG21" s="57" t="s">
        <v>1</v>
      </c>
      <c r="AH21" s="168"/>
      <c r="AI21" s="236"/>
      <c r="AJ21" s="238"/>
    </row>
    <row r="22" spans="2:36" ht="18.5" x14ac:dyDescent="0.2">
      <c r="B22" s="231"/>
      <c r="C22" s="240" t="s">
        <v>79</v>
      </c>
      <c r="D22" s="58" t="s">
        <v>183</v>
      </c>
      <c r="E22" s="109" t="s">
        <v>121</v>
      </c>
      <c r="F22" s="109" t="s">
        <v>468</v>
      </c>
      <c r="G22" s="109" t="s">
        <v>170</v>
      </c>
      <c r="H22" s="109" t="s">
        <v>121</v>
      </c>
      <c r="I22" s="109" t="s">
        <v>183</v>
      </c>
      <c r="J22" s="58" t="s">
        <v>142</v>
      </c>
      <c r="K22" s="58" t="s">
        <v>111</v>
      </c>
      <c r="L22" s="109" t="s">
        <v>121</v>
      </c>
      <c r="M22" s="109" t="s">
        <v>461</v>
      </c>
      <c r="N22" s="109" t="s">
        <v>158</v>
      </c>
      <c r="O22" s="58" t="s">
        <v>142</v>
      </c>
      <c r="P22" s="58" t="s">
        <v>170</v>
      </c>
      <c r="Q22" s="58" t="s">
        <v>183</v>
      </c>
      <c r="R22" s="109" t="s">
        <v>111</v>
      </c>
      <c r="S22" s="109" t="s">
        <v>142</v>
      </c>
      <c r="T22" s="109" t="s">
        <v>468</v>
      </c>
      <c r="U22" s="109" t="s">
        <v>170</v>
      </c>
      <c r="V22" s="109" t="s">
        <v>130</v>
      </c>
      <c r="W22" s="109" t="s">
        <v>121</v>
      </c>
      <c r="X22" s="109" t="s">
        <v>142</v>
      </c>
      <c r="Y22" s="109" t="s">
        <v>111</v>
      </c>
      <c r="Z22" s="109" t="s">
        <v>158</v>
      </c>
      <c r="AA22" s="109" t="s">
        <v>461</v>
      </c>
      <c r="AB22" s="109" t="s">
        <v>111</v>
      </c>
      <c r="AC22" s="109" t="s">
        <v>183</v>
      </c>
      <c r="AD22" s="109" t="s">
        <v>158</v>
      </c>
      <c r="AE22" s="109" t="s">
        <v>121</v>
      </c>
      <c r="AF22" s="109" t="s">
        <v>142</v>
      </c>
      <c r="AG22" s="109" t="s">
        <v>183</v>
      </c>
      <c r="AH22" s="169"/>
      <c r="AI22" s="242" t="s">
        <v>79</v>
      </c>
      <c r="AJ22" s="238"/>
    </row>
    <row r="23" spans="2:36" ht="19" thickBot="1" x14ac:dyDescent="0.25">
      <c r="B23" s="232"/>
      <c r="C23" s="241"/>
      <c r="D23" s="59" t="s">
        <v>1</v>
      </c>
      <c r="E23" s="110" t="s">
        <v>1</v>
      </c>
      <c r="F23" s="110" t="s">
        <v>1</v>
      </c>
      <c r="G23" s="110" t="s">
        <v>1</v>
      </c>
      <c r="H23" s="110" t="s">
        <v>1</v>
      </c>
      <c r="I23" s="110" t="s">
        <v>1</v>
      </c>
      <c r="J23" s="59" t="s">
        <v>1</v>
      </c>
      <c r="K23" s="59" t="s">
        <v>1</v>
      </c>
      <c r="L23" s="110" t="s">
        <v>1</v>
      </c>
      <c r="M23" s="110" t="s">
        <v>1</v>
      </c>
      <c r="N23" s="110" t="s">
        <v>1</v>
      </c>
      <c r="O23" s="59" t="s">
        <v>1</v>
      </c>
      <c r="P23" s="59" t="s">
        <v>1</v>
      </c>
      <c r="Q23" s="59" t="s">
        <v>1</v>
      </c>
      <c r="R23" s="110" t="s">
        <v>1</v>
      </c>
      <c r="S23" s="110" t="s">
        <v>1</v>
      </c>
      <c r="T23" s="110" t="s">
        <v>1</v>
      </c>
      <c r="U23" s="110" t="s">
        <v>1</v>
      </c>
      <c r="V23" s="110" t="s">
        <v>1</v>
      </c>
      <c r="W23" s="110" t="s">
        <v>1</v>
      </c>
      <c r="X23" s="110" t="s">
        <v>1</v>
      </c>
      <c r="Y23" s="110" t="s">
        <v>1</v>
      </c>
      <c r="Z23" s="110" t="s">
        <v>1</v>
      </c>
      <c r="AA23" s="110" t="s">
        <v>1</v>
      </c>
      <c r="AB23" s="110" t="s">
        <v>1</v>
      </c>
      <c r="AC23" s="110" t="s">
        <v>1</v>
      </c>
      <c r="AD23" s="110" t="s">
        <v>1</v>
      </c>
      <c r="AE23" s="110" t="s">
        <v>1</v>
      </c>
      <c r="AF23" s="110" t="s">
        <v>1</v>
      </c>
      <c r="AG23" s="110" t="s">
        <v>1</v>
      </c>
      <c r="AH23" s="170"/>
      <c r="AI23" s="243"/>
      <c r="AJ23" s="239"/>
    </row>
    <row r="24" spans="2:36" ht="18.5" x14ac:dyDescent="0.2">
      <c r="B24" s="230" t="s">
        <v>80</v>
      </c>
      <c r="C24" s="233" t="s">
        <v>78</v>
      </c>
      <c r="D24" s="60"/>
      <c r="E24" s="54"/>
      <c r="F24" s="54"/>
      <c r="G24" s="54"/>
      <c r="H24" s="54" t="s">
        <v>16</v>
      </c>
      <c r="I24" s="54" t="s">
        <v>15</v>
      </c>
      <c r="J24" s="52"/>
      <c r="K24" s="54"/>
      <c r="L24" s="54"/>
      <c r="M24" s="54"/>
      <c r="N24" s="54"/>
      <c r="O24" s="52" t="s">
        <v>17</v>
      </c>
      <c r="P24" s="54" t="s">
        <v>16</v>
      </c>
      <c r="Q24" s="54"/>
      <c r="R24" s="54"/>
      <c r="S24" s="52"/>
      <c r="T24" s="54"/>
      <c r="U24" s="52"/>
      <c r="V24" s="54" t="s">
        <v>15</v>
      </c>
      <c r="W24" s="54" t="s">
        <v>17</v>
      </c>
      <c r="X24" s="53" t="s">
        <v>18</v>
      </c>
      <c r="Y24" s="53" t="s">
        <v>18</v>
      </c>
      <c r="Z24" s="53" t="s">
        <v>16</v>
      </c>
      <c r="AA24" s="54"/>
      <c r="AB24" s="54"/>
      <c r="AC24" s="54" t="s">
        <v>18</v>
      </c>
      <c r="AD24" s="54" t="s">
        <v>15</v>
      </c>
      <c r="AE24" s="52"/>
      <c r="AF24" s="54"/>
      <c r="AG24" s="54"/>
      <c r="AH24" s="167"/>
      <c r="AI24" s="235" t="s">
        <v>78</v>
      </c>
      <c r="AJ24" s="237" t="s">
        <v>80</v>
      </c>
    </row>
    <row r="25" spans="2:36" ht="18.5" x14ac:dyDescent="0.2">
      <c r="B25" s="231"/>
      <c r="C25" s="234"/>
      <c r="D25" s="55"/>
      <c r="E25" s="57"/>
      <c r="F25" s="57"/>
      <c r="G25" s="57"/>
      <c r="H25" s="57"/>
      <c r="I25" s="57"/>
      <c r="J25" s="55"/>
      <c r="K25" s="55"/>
      <c r="L25" s="57"/>
      <c r="M25" s="57"/>
      <c r="N25" s="57"/>
      <c r="O25" s="55"/>
      <c r="P25" s="55"/>
      <c r="Q25" s="55"/>
      <c r="R25" s="57"/>
      <c r="S25" s="57"/>
      <c r="T25" s="57"/>
      <c r="U25" s="55"/>
      <c r="V25" s="57"/>
      <c r="W25" s="57"/>
      <c r="X25" s="56"/>
      <c r="Y25" s="56"/>
      <c r="Z25" s="56"/>
      <c r="AA25" s="57"/>
      <c r="AB25" s="57"/>
      <c r="AC25" s="55"/>
      <c r="AD25" s="57" t="s">
        <v>17</v>
      </c>
      <c r="AE25" s="57"/>
      <c r="AF25" s="57"/>
      <c r="AG25" s="57"/>
      <c r="AH25" s="168"/>
      <c r="AI25" s="236"/>
      <c r="AJ25" s="238"/>
    </row>
    <row r="26" spans="2:36" ht="18.5" x14ac:dyDescent="0.2">
      <c r="B26" s="231"/>
      <c r="C26" s="240" t="s">
        <v>79</v>
      </c>
      <c r="D26" s="60" t="s">
        <v>18</v>
      </c>
      <c r="E26" s="62" t="s">
        <v>15</v>
      </c>
      <c r="F26" s="62" t="s">
        <v>16</v>
      </c>
      <c r="G26" s="62" t="s">
        <v>18</v>
      </c>
      <c r="H26" s="62" t="s">
        <v>16</v>
      </c>
      <c r="I26" s="62" t="s">
        <v>578</v>
      </c>
      <c r="J26" s="60" t="s">
        <v>17</v>
      </c>
      <c r="K26" s="60" t="s">
        <v>16</v>
      </c>
      <c r="L26" s="62" t="s">
        <v>18</v>
      </c>
      <c r="M26" s="62" t="s">
        <v>17</v>
      </c>
      <c r="N26" s="62" t="s">
        <v>15</v>
      </c>
      <c r="O26" s="60" t="s">
        <v>17</v>
      </c>
      <c r="P26" s="60" t="s">
        <v>19</v>
      </c>
      <c r="Q26" s="60" t="s">
        <v>16</v>
      </c>
      <c r="R26" s="62" t="s">
        <v>15</v>
      </c>
      <c r="S26" s="62" t="s">
        <v>17</v>
      </c>
      <c r="T26" s="62" t="s">
        <v>16</v>
      </c>
      <c r="U26" s="62" t="s">
        <v>17</v>
      </c>
      <c r="V26" s="62" t="s">
        <v>15</v>
      </c>
      <c r="W26" s="62" t="s">
        <v>19</v>
      </c>
      <c r="X26" s="62" t="s">
        <v>18</v>
      </c>
      <c r="Y26" s="62" t="s">
        <v>19</v>
      </c>
      <c r="Z26" s="62" t="s">
        <v>16</v>
      </c>
      <c r="AA26" s="62" t="s">
        <v>18</v>
      </c>
      <c r="AB26" s="62" t="s">
        <v>15</v>
      </c>
      <c r="AC26" s="62" t="s">
        <v>18</v>
      </c>
      <c r="AD26" s="62" t="s">
        <v>19</v>
      </c>
      <c r="AE26" s="62" t="s">
        <v>18</v>
      </c>
      <c r="AF26" s="62" t="s">
        <v>15</v>
      </c>
      <c r="AG26" s="62" t="s">
        <v>17</v>
      </c>
      <c r="AH26" s="171"/>
      <c r="AI26" s="242" t="s">
        <v>79</v>
      </c>
      <c r="AJ26" s="238"/>
    </row>
    <row r="27" spans="2:36" ht="19" thickBot="1" x14ac:dyDescent="0.25">
      <c r="B27" s="232"/>
      <c r="C27" s="241"/>
      <c r="D27" s="59" t="s">
        <v>20</v>
      </c>
      <c r="E27" s="110" t="s">
        <v>20</v>
      </c>
      <c r="F27" s="110" t="s">
        <v>20</v>
      </c>
      <c r="G27" s="110"/>
      <c r="H27" s="110"/>
      <c r="I27" s="110"/>
      <c r="J27" s="59"/>
      <c r="K27" s="59" t="s">
        <v>20</v>
      </c>
      <c r="L27" s="110" t="s">
        <v>20</v>
      </c>
      <c r="M27" s="110" t="s">
        <v>20</v>
      </c>
      <c r="N27" s="110"/>
      <c r="O27" s="59"/>
      <c r="P27" s="59"/>
      <c r="Q27" s="59"/>
      <c r="R27" s="110" t="s">
        <v>20</v>
      </c>
      <c r="S27" s="110" t="s">
        <v>20</v>
      </c>
      <c r="T27" s="110" t="s">
        <v>20</v>
      </c>
      <c r="U27" s="110"/>
      <c r="V27" s="110"/>
      <c r="W27" s="110"/>
      <c r="X27" s="110"/>
      <c r="Y27" s="110"/>
      <c r="Z27" s="110"/>
      <c r="AA27" s="110" t="s">
        <v>20</v>
      </c>
      <c r="AB27" s="110"/>
      <c r="AC27" s="110"/>
      <c r="AD27" s="110"/>
      <c r="AE27" s="110"/>
      <c r="AF27" s="110" t="s">
        <v>20</v>
      </c>
      <c r="AG27" s="110" t="s">
        <v>20</v>
      </c>
      <c r="AH27" s="170"/>
      <c r="AI27" s="243"/>
      <c r="AJ27" s="239"/>
    </row>
    <row r="28" spans="2:36" ht="23.5" customHeight="1" x14ac:dyDescent="0.2">
      <c r="B28" s="244" t="s">
        <v>81</v>
      </c>
      <c r="C28" s="233" t="s">
        <v>82</v>
      </c>
      <c r="D28" s="62"/>
      <c r="E28" s="62"/>
      <c r="F28" s="62"/>
      <c r="G28" s="62"/>
      <c r="H28" s="62" t="s">
        <v>475</v>
      </c>
      <c r="I28" s="62" t="s">
        <v>475</v>
      </c>
      <c r="J28" s="62"/>
      <c r="K28" s="62"/>
      <c r="L28" s="62"/>
      <c r="M28" s="62"/>
      <c r="N28" s="62"/>
      <c r="O28" s="54" t="s">
        <v>474</v>
      </c>
      <c r="P28" s="54" t="s">
        <v>474</v>
      </c>
      <c r="Q28" s="62"/>
      <c r="R28" s="54"/>
      <c r="S28" s="54"/>
      <c r="T28" s="62"/>
      <c r="U28" s="62"/>
      <c r="V28" s="62" t="s">
        <v>475</v>
      </c>
      <c r="W28" s="54" t="s">
        <v>474</v>
      </c>
      <c r="X28" s="53" t="s">
        <v>474</v>
      </c>
      <c r="Y28" s="61" t="s">
        <v>475</v>
      </c>
      <c r="Z28" s="61" t="s">
        <v>475</v>
      </c>
      <c r="AA28" s="62"/>
      <c r="AB28" s="54"/>
      <c r="AC28" s="54" t="s">
        <v>475</v>
      </c>
      <c r="AD28" s="54" t="s">
        <v>475</v>
      </c>
      <c r="AE28" s="62"/>
      <c r="AF28" s="54"/>
      <c r="AG28" s="54"/>
      <c r="AH28" s="171"/>
      <c r="AI28" s="235" t="s">
        <v>82</v>
      </c>
      <c r="AJ28" s="247" t="s">
        <v>81</v>
      </c>
    </row>
    <row r="29" spans="2:36" ht="23.5" customHeight="1" x14ac:dyDescent="0.2">
      <c r="B29" s="245"/>
      <c r="C29" s="234"/>
      <c r="D29" s="60"/>
      <c r="E29" s="62"/>
      <c r="F29" s="62"/>
      <c r="G29" s="62"/>
      <c r="H29" s="62" t="s">
        <v>280</v>
      </c>
      <c r="I29" s="62" t="s">
        <v>275</v>
      </c>
      <c r="J29" s="62"/>
      <c r="K29" s="62"/>
      <c r="L29" s="62"/>
      <c r="M29" s="62"/>
      <c r="N29" s="62"/>
      <c r="O29" s="62" t="s">
        <v>586</v>
      </c>
      <c r="P29" s="62" t="s">
        <v>585</v>
      </c>
      <c r="Q29" s="62"/>
      <c r="R29" s="62"/>
      <c r="S29" s="62"/>
      <c r="T29" s="62"/>
      <c r="U29" s="62"/>
      <c r="V29" s="62" t="s">
        <v>281</v>
      </c>
      <c r="W29" s="62" t="s">
        <v>43</v>
      </c>
      <c r="X29" s="61" t="s">
        <v>584</v>
      </c>
      <c r="Y29" s="61" t="s">
        <v>278</v>
      </c>
      <c r="Z29" s="61" t="s">
        <v>581</v>
      </c>
      <c r="AA29" s="62"/>
      <c r="AB29" s="62"/>
      <c r="AC29" s="62" t="s">
        <v>583</v>
      </c>
      <c r="AD29" s="62" t="s">
        <v>582</v>
      </c>
      <c r="AE29" s="62"/>
      <c r="AF29" s="62"/>
      <c r="AG29" s="62"/>
      <c r="AH29" s="171"/>
      <c r="AI29" s="236"/>
      <c r="AJ29" s="248"/>
    </row>
    <row r="30" spans="2:36" ht="23.5" customHeight="1" x14ac:dyDescent="0.2">
      <c r="B30" s="245"/>
      <c r="C30" s="250" t="s">
        <v>83</v>
      </c>
      <c r="D30" s="58"/>
      <c r="E30" s="109"/>
      <c r="F30" s="109"/>
      <c r="G30" s="109"/>
      <c r="H30" s="109" t="s">
        <v>45</v>
      </c>
      <c r="I30" s="109" t="s">
        <v>33</v>
      </c>
      <c r="J30" s="58"/>
      <c r="K30" s="109"/>
      <c r="L30" s="109"/>
      <c r="M30" s="109"/>
      <c r="N30" s="109"/>
      <c r="O30" s="58" t="s">
        <v>50</v>
      </c>
      <c r="P30" s="109" t="s">
        <v>112</v>
      </c>
      <c r="Q30" s="109"/>
      <c r="R30" s="109"/>
      <c r="S30" s="58"/>
      <c r="T30" s="109"/>
      <c r="U30" s="58"/>
      <c r="V30" s="109" t="s">
        <v>32</v>
      </c>
      <c r="W30" s="109" t="s">
        <v>112</v>
      </c>
      <c r="X30" s="64" t="s">
        <v>53</v>
      </c>
      <c r="Y30" s="64" t="s">
        <v>46</v>
      </c>
      <c r="Z30" s="64" t="s">
        <v>31</v>
      </c>
      <c r="AA30" s="109"/>
      <c r="AB30" s="109"/>
      <c r="AC30" s="109" t="s">
        <v>112</v>
      </c>
      <c r="AD30" s="109" t="s">
        <v>27</v>
      </c>
      <c r="AE30" s="58"/>
      <c r="AF30" s="109"/>
      <c r="AG30" s="109"/>
      <c r="AH30" s="172"/>
      <c r="AI30" s="252" t="s">
        <v>83</v>
      </c>
      <c r="AJ30" s="248"/>
    </row>
    <row r="31" spans="2:36" ht="23.5" customHeight="1" thickBot="1" x14ac:dyDescent="0.25">
      <c r="B31" s="246"/>
      <c r="C31" s="251"/>
      <c r="D31" s="66"/>
      <c r="E31" s="111"/>
      <c r="F31" s="111"/>
      <c r="G31" s="111"/>
      <c r="H31" s="111" t="s">
        <v>171</v>
      </c>
      <c r="I31" s="111" t="s">
        <v>39</v>
      </c>
      <c r="J31" s="66"/>
      <c r="K31" s="111"/>
      <c r="L31" s="111"/>
      <c r="M31" s="111"/>
      <c r="N31" s="111"/>
      <c r="O31" s="66" t="s">
        <v>184</v>
      </c>
      <c r="P31" s="111" t="s">
        <v>195</v>
      </c>
      <c r="Q31" s="111"/>
      <c r="R31" s="111"/>
      <c r="S31" s="66"/>
      <c r="T31" s="111"/>
      <c r="U31" s="66"/>
      <c r="V31" s="111" t="s">
        <v>401</v>
      </c>
      <c r="W31" s="111" t="s">
        <v>150</v>
      </c>
      <c r="X31" s="67" t="s">
        <v>219</v>
      </c>
      <c r="Y31" s="67" t="s">
        <v>56</v>
      </c>
      <c r="Z31" s="67" t="s">
        <v>242</v>
      </c>
      <c r="AA31" s="111"/>
      <c r="AB31" s="111"/>
      <c r="AC31" s="111" t="s">
        <v>113</v>
      </c>
      <c r="AD31" s="111" t="s">
        <v>580</v>
      </c>
      <c r="AE31" s="66"/>
      <c r="AF31" s="111"/>
      <c r="AG31" s="111"/>
      <c r="AH31" s="173"/>
      <c r="AI31" s="253"/>
      <c r="AJ31" s="249"/>
    </row>
    <row r="32" spans="2:36" ht="23.5" customHeight="1" x14ac:dyDescent="0.2">
      <c r="B32" s="254" t="s">
        <v>84</v>
      </c>
      <c r="C32" s="256" t="s">
        <v>82</v>
      </c>
      <c r="D32" s="62" t="s">
        <v>270</v>
      </c>
      <c r="E32" s="62" t="s">
        <v>269</v>
      </c>
      <c r="F32" s="62" t="s">
        <v>269</v>
      </c>
      <c r="G32" s="62" t="s">
        <v>270</v>
      </c>
      <c r="H32" s="60" t="s">
        <v>270</v>
      </c>
      <c r="I32" s="62" t="s">
        <v>269</v>
      </c>
      <c r="J32" s="62" t="s">
        <v>269</v>
      </c>
      <c r="K32" s="62" t="s">
        <v>270</v>
      </c>
      <c r="L32" s="62" t="s">
        <v>269</v>
      </c>
      <c r="M32" s="62" t="s">
        <v>270</v>
      </c>
      <c r="N32" s="62" t="s">
        <v>270</v>
      </c>
      <c r="O32" s="62" t="s">
        <v>269</v>
      </c>
      <c r="P32" s="62" t="s">
        <v>269</v>
      </c>
      <c r="Q32" s="62" t="s">
        <v>269</v>
      </c>
      <c r="R32" s="62" t="s">
        <v>269</v>
      </c>
      <c r="S32" s="62" t="s">
        <v>270</v>
      </c>
      <c r="T32" s="62" t="s">
        <v>269</v>
      </c>
      <c r="U32" s="62" t="s">
        <v>269</v>
      </c>
      <c r="V32" s="62" t="s">
        <v>269</v>
      </c>
      <c r="W32" s="62" t="s">
        <v>269</v>
      </c>
      <c r="X32" s="62" t="s">
        <v>270</v>
      </c>
      <c r="Y32" s="62" t="s">
        <v>269</v>
      </c>
      <c r="Z32" s="62" t="s">
        <v>270</v>
      </c>
      <c r="AA32" s="62" t="s">
        <v>270</v>
      </c>
      <c r="AB32" s="62" t="s">
        <v>270</v>
      </c>
      <c r="AC32" s="62" t="s">
        <v>270</v>
      </c>
      <c r="AD32" s="62" t="s">
        <v>270</v>
      </c>
      <c r="AE32" s="62" t="s">
        <v>269</v>
      </c>
      <c r="AF32" s="62" t="s">
        <v>269</v>
      </c>
      <c r="AG32" s="62" t="s">
        <v>270</v>
      </c>
      <c r="AH32" s="171"/>
      <c r="AI32" s="258" t="s">
        <v>82</v>
      </c>
      <c r="AJ32" s="260" t="s">
        <v>84</v>
      </c>
    </row>
    <row r="33" spans="2:36" ht="23.5" customHeight="1" x14ac:dyDescent="0.2">
      <c r="B33" s="254"/>
      <c r="C33" s="257"/>
      <c r="D33" s="70" t="s">
        <v>23</v>
      </c>
      <c r="E33" s="63" t="s">
        <v>277</v>
      </c>
      <c r="F33" s="63" t="s">
        <v>279</v>
      </c>
      <c r="G33" s="63" t="s">
        <v>41</v>
      </c>
      <c r="H33" s="63" t="s">
        <v>21</v>
      </c>
      <c r="I33" s="71" t="s">
        <v>274</v>
      </c>
      <c r="J33" s="71" t="s">
        <v>281</v>
      </c>
      <c r="K33" s="71" t="s">
        <v>472</v>
      </c>
      <c r="L33" s="63" t="s">
        <v>212</v>
      </c>
      <c r="M33" s="63" t="s">
        <v>271</v>
      </c>
      <c r="N33" s="63" t="s">
        <v>42</v>
      </c>
      <c r="O33" s="71" t="s">
        <v>279</v>
      </c>
      <c r="P33" s="71" t="s">
        <v>414</v>
      </c>
      <c r="Q33" s="71" t="s">
        <v>275</v>
      </c>
      <c r="R33" s="63" t="s">
        <v>278</v>
      </c>
      <c r="S33" s="63" t="s">
        <v>21</v>
      </c>
      <c r="T33" s="63" t="s">
        <v>276</v>
      </c>
      <c r="U33" s="63" t="s">
        <v>280</v>
      </c>
      <c r="V33" s="63" t="s">
        <v>414</v>
      </c>
      <c r="W33" s="63" t="s">
        <v>212</v>
      </c>
      <c r="X33" s="63" t="s">
        <v>271</v>
      </c>
      <c r="Y33" s="63" t="s">
        <v>277</v>
      </c>
      <c r="Z33" s="63" t="s">
        <v>472</v>
      </c>
      <c r="AA33" s="63" t="s">
        <v>272</v>
      </c>
      <c r="AB33" s="63" t="s">
        <v>473</v>
      </c>
      <c r="AC33" s="63" t="s">
        <v>42</v>
      </c>
      <c r="AD33" s="63" t="s">
        <v>23</v>
      </c>
      <c r="AE33" s="63" t="s">
        <v>282</v>
      </c>
      <c r="AF33" s="63" t="s">
        <v>43</v>
      </c>
      <c r="AG33" s="63" t="s">
        <v>473</v>
      </c>
      <c r="AH33" s="174"/>
      <c r="AI33" s="259"/>
      <c r="AJ33" s="260"/>
    </row>
    <row r="34" spans="2:36" ht="23.5" customHeight="1" x14ac:dyDescent="0.2">
      <c r="B34" s="254"/>
      <c r="C34" s="256" t="s">
        <v>83</v>
      </c>
      <c r="D34" s="69" t="s">
        <v>53</v>
      </c>
      <c r="E34" s="62" t="s">
        <v>112</v>
      </c>
      <c r="F34" s="62" t="s">
        <v>51</v>
      </c>
      <c r="G34" s="62" t="s">
        <v>30</v>
      </c>
      <c r="H34" s="62" t="s">
        <v>32</v>
      </c>
      <c r="I34" s="60" t="s">
        <v>49</v>
      </c>
      <c r="J34" s="60" t="s">
        <v>50</v>
      </c>
      <c r="K34" s="60" t="s">
        <v>385</v>
      </c>
      <c r="L34" s="62" t="s">
        <v>46</v>
      </c>
      <c r="M34" s="62" t="s">
        <v>27</v>
      </c>
      <c r="N34" s="62" t="s">
        <v>52</v>
      </c>
      <c r="O34" s="60" t="s">
        <v>29</v>
      </c>
      <c r="P34" s="60" t="s">
        <v>48</v>
      </c>
      <c r="Q34" s="60" t="s">
        <v>384</v>
      </c>
      <c r="R34" s="62" t="s">
        <v>49</v>
      </c>
      <c r="S34" s="62" t="s">
        <v>209</v>
      </c>
      <c r="T34" s="62" t="s">
        <v>50</v>
      </c>
      <c r="U34" s="62" t="s">
        <v>30</v>
      </c>
      <c r="V34" s="62" t="s">
        <v>27</v>
      </c>
      <c r="W34" s="62" t="s">
        <v>26</v>
      </c>
      <c r="X34" s="62" t="s">
        <v>52</v>
      </c>
      <c r="Y34" s="62" t="s">
        <v>48</v>
      </c>
      <c r="Z34" s="62" t="s">
        <v>28</v>
      </c>
      <c r="AA34" s="62" t="s">
        <v>50</v>
      </c>
      <c r="AB34" s="62" t="s">
        <v>45</v>
      </c>
      <c r="AC34" s="62" t="s">
        <v>47</v>
      </c>
      <c r="AD34" s="62" t="s">
        <v>26</v>
      </c>
      <c r="AE34" s="62" t="s">
        <v>112</v>
      </c>
      <c r="AF34" s="62" t="s">
        <v>32</v>
      </c>
      <c r="AG34" s="62" t="s">
        <v>34</v>
      </c>
      <c r="AH34" s="175"/>
      <c r="AI34" s="258" t="s">
        <v>83</v>
      </c>
      <c r="AJ34" s="260"/>
    </row>
    <row r="35" spans="2:36" ht="23.5" customHeight="1" thickBot="1" x14ac:dyDescent="0.25">
      <c r="B35" s="255"/>
      <c r="C35" s="241"/>
      <c r="D35" s="73" t="s">
        <v>236</v>
      </c>
      <c r="E35" s="111" t="s">
        <v>226</v>
      </c>
      <c r="F35" s="111" t="s">
        <v>235</v>
      </c>
      <c r="G35" s="111" t="s">
        <v>174</v>
      </c>
      <c r="H35" s="111" t="s">
        <v>65</v>
      </c>
      <c r="I35" s="66" t="s">
        <v>402</v>
      </c>
      <c r="J35" s="66" t="s">
        <v>222</v>
      </c>
      <c r="K35" s="66" t="s">
        <v>397</v>
      </c>
      <c r="L35" s="111" t="s">
        <v>232</v>
      </c>
      <c r="M35" s="111" t="s">
        <v>159</v>
      </c>
      <c r="N35" s="111" t="s">
        <v>268</v>
      </c>
      <c r="O35" s="66" t="s">
        <v>391</v>
      </c>
      <c r="P35" s="66" t="s">
        <v>267</v>
      </c>
      <c r="Q35" s="66" t="s">
        <v>388</v>
      </c>
      <c r="R35" s="111" t="s">
        <v>469</v>
      </c>
      <c r="S35" s="111" t="s">
        <v>210</v>
      </c>
      <c r="T35" s="111" t="s">
        <v>127</v>
      </c>
      <c r="U35" s="111" t="s">
        <v>175</v>
      </c>
      <c r="V35" s="111" t="s">
        <v>136</v>
      </c>
      <c r="W35" s="111" t="s">
        <v>265</v>
      </c>
      <c r="X35" s="111" t="s">
        <v>147</v>
      </c>
      <c r="Y35" s="111" t="s">
        <v>530</v>
      </c>
      <c r="Z35" s="111" t="s">
        <v>579</v>
      </c>
      <c r="AA35" s="111" t="s">
        <v>64</v>
      </c>
      <c r="AB35" s="111" t="s">
        <v>41</v>
      </c>
      <c r="AC35" s="111" t="s">
        <v>57</v>
      </c>
      <c r="AD35" s="111" t="s">
        <v>194</v>
      </c>
      <c r="AE35" s="111" t="s">
        <v>203</v>
      </c>
      <c r="AF35" s="111" t="s">
        <v>58</v>
      </c>
      <c r="AG35" s="111" t="s">
        <v>399</v>
      </c>
      <c r="AH35" s="176"/>
      <c r="AI35" s="243"/>
      <c r="AJ35" s="261"/>
    </row>
    <row r="36" spans="2:36" ht="23" customHeight="1" x14ac:dyDescent="0.2">
      <c r="B36" s="230" t="s">
        <v>67</v>
      </c>
      <c r="C36" s="233" t="s">
        <v>12</v>
      </c>
      <c r="D36" s="62"/>
      <c r="E36" s="62"/>
      <c r="F36" s="62"/>
      <c r="G36" s="62"/>
      <c r="H36" s="62" t="s">
        <v>370</v>
      </c>
      <c r="I36" s="62" t="s">
        <v>506</v>
      </c>
      <c r="J36" s="54"/>
      <c r="K36" s="54"/>
      <c r="L36" s="62"/>
      <c r="M36" s="62"/>
      <c r="N36" s="54"/>
      <c r="O36" s="54" t="s">
        <v>373</v>
      </c>
      <c r="P36" s="54" t="s">
        <v>506</v>
      </c>
      <c r="Q36" s="54"/>
      <c r="R36" s="54"/>
      <c r="S36" s="62"/>
      <c r="T36" s="62"/>
      <c r="U36" s="54"/>
      <c r="V36" s="54" t="s">
        <v>73</v>
      </c>
      <c r="W36" s="54" t="s">
        <v>369</v>
      </c>
      <c r="X36" s="53" t="s">
        <v>371</v>
      </c>
      <c r="Y36" s="53" t="s">
        <v>73</v>
      </c>
      <c r="Z36" s="61" t="s">
        <v>373</v>
      </c>
      <c r="AA36" s="62"/>
      <c r="AB36" s="54"/>
      <c r="AC36" s="54" t="s">
        <v>369</v>
      </c>
      <c r="AD36" s="54" t="s">
        <v>506</v>
      </c>
      <c r="AE36" s="54"/>
      <c r="AF36" s="54"/>
      <c r="AG36" s="62"/>
      <c r="AH36" s="171"/>
      <c r="AI36" s="235" t="s">
        <v>12</v>
      </c>
      <c r="AJ36" s="237" t="s">
        <v>67</v>
      </c>
    </row>
    <row r="37" spans="2:36" ht="23" customHeight="1" x14ac:dyDescent="0.2">
      <c r="B37" s="231"/>
      <c r="C37" s="234"/>
      <c r="D37" s="57"/>
      <c r="E37" s="57"/>
      <c r="F37" s="57"/>
      <c r="G37" s="112"/>
      <c r="H37" s="57"/>
      <c r="I37" s="57" t="s">
        <v>512</v>
      </c>
      <c r="J37" s="57"/>
      <c r="K37" s="57"/>
      <c r="L37" s="57"/>
      <c r="M37" s="57"/>
      <c r="N37" s="57"/>
      <c r="O37" s="57"/>
      <c r="P37" s="57" t="s">
        <v>568</v>
      </c>
      <c r="Q37" s="57"/>
      <c r="R37" s="57"/>
      <c r="S37" s="57"/>
      <c r="T37" s="57"/>
      <c r="U37" s="57"/>
      <c r="V37" s="57"/>
      <c r="W37" s="57"/>
      <c r="X37" s="56"/>
      <c r="Y37" s="56"/>
      <c r="Z37" s="56"/>
      <c r="AA37" s="57"/>
      <c r="AB37" s="57"/>
      <c r="AC37" s="57"/>
      <c r="AD37" s="57" t="s">
        <v>515</v>
      </c>
      <c r="AE37" s="57"/>
      <c r="AF37" s="57"/>
      <c r="AG37" s="57"/>
      <c r="AH37" s="168"/>
      <c r="AI37" s="236"/>
      <c r="AJ37" s="238"/>
    </row>
    <row r="38" spans="2:36" ht="23" customHeight="1" x14ac:dyDescent="0.2">
      <c r="B38" s="231"/>
      <c r="C38" s="240" t="s">
        <v>14</v>
      </c>
      <c r="D38" s="113" t="s">
        <v>73</v>
      </c>
      <c r="E38" s="113" t="s">
        <v>36</v>
      </c>
      <c r="F38" s="113" t="s">
        <v>506</v>
      </c>
      <c r="G38" s="113" t="s">
        <v>372</v>
      </c>
      <c r="H38" s="113" t="s">
        <v>370</v>
      </c>
      <c r="I38" s="114" t="s">
        <v>506</v>
      </c>
      <c r="J38" s="113" t="s">
        <v>506</v>
      </c>
      <c r="K38" s="113" t="s">
        <v>36</v>
      </c>
      <c r="L38" s="113" t="s">
        <v>370</v>
      </c>
      <c r="M38" s="113" t="s">
        <v>506</v>
      </c>
      <c r="N38" s="113" t="s">
        <v>369</v>
      </c>
      <c r="O38" s="113" t="s">
        <v>373</v>
      </c>
      <c r="P38" s="113" t="s">
        <v>506</v>
      </c>
      <c r="Q38" s="114" t="s">
        <v>506</v>
      </c>
      <c r="R38" s="113" t="s">
        <v>73</v>
      </c>
      <c r="S38" s="113" t="s">
        <v>370</v>
      </c>
      <c r="T38" s="113" t="s">
        <v>506</v>
      </c>
      <c r="U38" s="113" t="s">
        <v>373</v>
      </c>
      <c r="V38" s="113" t="s">
        <v>73</v>
      </c>
      <c r="W38" s="113" t="s">
        <v>369</v>
      </c>
      <c r="X38" s="113" t="s">
        <v>371</v>
      </c>
      <c r="Y38" s="113" t="s">
        <v>372</v>
      </c>
      <c r="Z38" s="113" t="s">
        <v>373</v>
      </c>
      <c r="AA38" s="113" t="s">
        <v>506</v>
      </c>
      <c r="AB38" s="113" t="s">
        <v>370</v>
      </c>
      <c r="AC38" s="113" t="s">
        <v>369</v>
      </c>
      <c r="AD38" s="113" t="s">
        <v>506</v>
      </c>
      <c r="AE38" s="113" t="s">
        <v>506</v>
      </c>
      <c r="AF38" s="113" t="s">
        <v>36</v>
      </c>
      <c r="AG38" s="113" t="s">
        <v>74</v>
      </c>
      <c r="AH38" s="177"/>
      <c r="AI38" s="242" t="s">
        <v>14</v>
      </c>
      <c r="AJ38" s="238"/>
    </row>
    <row r="39" spans="2:36" ht="23" customHeight="1" thickBot="1" x14ac:dyDescent="0.25">
      <c r="B39" s="232"/>
      <c r="C39" s="241"/>
      <c r="D39" s="78"/>
      <c r="E39" s="79"/>
      <c r="F39" s="80" t="s">
        <v>573</v>
      </c>
      <c r="G39" s="78"/>
      <c r="H39" s="80"/>
      <c r="I39" s="80" t="s">
        <v>512</v>
      </c>
      <c r="J39" s="79" t="s">
        <v>572</v>
      </c>
      <c r="K39" s="78"/>
      <c r="L39" s="80"/>
      <c r="M39" s="80" t="s">
        <v>571</v>
      </c>
      <c r="N39" s="184"/>
      <c r="O39" s="78"/>
      <c r="P39" s="80" t="s">
        <v>568</v>
      </c>
      <c r="Q39" s="79" t="s">
        <v>514</v>
      </c>
      <c r="R39" s="78"/>
      <c r="S39" s="78"/>
      <c r="T39" s="79" t="s">
        <v>570</v>
      </c>
      <c r="U39" s="80"/>
      <c r="V39" s="78"/>
      <c r="W39" s="80"/>
      <c r="X39" s="81"/>
      <c r="Y39" s="78"/>
      <c r="Z39" s="78"/>
      <c r="AA39" s="78" t="s">
        <v>569</v>
      </c>
      <c r="AB39" s="78"/>
      <c r="AC39" s="78"/>
      <c r="AD39" s="78" t="s">
        <v>515</v>
      </c>
      <c r="AE39" s="78" t="s">
        <v>512</v>
      </c>
      <c r="AF39" s="78"/>
      <c r="AG39" s="78"/>
      <c r="AH39" s="178"/>
      <c r="AI39" s="243"/>
      <c r="AJ39" s="239"/>
    </row>
  </sheetData>
  <mergeCells count="37">
    <mergeCell ref="B36:B39"/>
    <mergeCell ref="C36:C37"/>
    <mergeCell ref="AI36:AI37"/>
    <mergeCell ref="AJ36:AJ39"/>
    <mergeCell ref="C38:C39"/>
    <mergeCell ref="AI38:AI39"/>
    <mergeCell ref="B32:B35"/>
    <mergeCell ref="C32:C33"/>
    <mergeCell ref="AI32:AI33"/>
    <mergeCell ref="AJ32:AJ35"/>
    <mergeCell ref="C34:C35"/>
    <mergeCell ref="AI34:AI35"/>
    <mergeCell ref="B28:B31"/>
    <mergeCell ref="C28:C29"/>
    <mergeCell ref="AI28:AI29"/>
    <mergeCell ref="AJ28:AJ31"/>
    <mergeCell ref="C30:C31"/>
    <mergeCell ref="AI30:AI31"/>
    <mergeCell ref="B24:B27"/>
    <mergeCell ref="C24:C25"/>
    <mergeCell ref="AI24:AI25"/>
    <mergeCell ref="AJ24:AJ27"/>
    <mergeCell ref="C26:C27"/>
    <mergeCell ref="AI26:AI27"/>
    <mergeCell ref="B20:B23"/>
    <mergeCell ref="C20:C21"/>
    <mergeCell ref="AI20:AI21"/>
    <mergeCell ref="AJ20:AJ23"/>
    <mergeCell ref="C22:C23"/>
    <mergeCell ref="AI22:AI23"/>
    <mergeCell ref="B7:C7"/>
    <mergeCell ref="AI7:AJ7"/>
    <mergeCell ref="B2:AJ2"/>
    <mergeCell ref="B3:C4"/>
    <mergeCell ref="AI3:AJ4"/>
    <mergeCell ref="B5:C6"/>
    <mergeCell ref="AI5:AJ6"/>
  </mergeCells>
  <phoneticPr fontId="4"/>
  <conditionalFormatting sqref="D8:E8">
    <cfRule type="containsText" dxfId="378" priority="41" operator="containsText" text="㉕">
      <formula>NOT(ISERROR(SEARCH("㉕",D8)))</formula>
    </cfRule>
    <cfRule type="containsText" dxfId="377" priority="42" operator="containsText" text="休">
      <formula>NOT(ISERROR(SEARCH("休",D8)))</formula>
    </cfRule>
    <cfRule type="cellIs" dxfId="376" priority="43" operator="equal">
      <formula>"㉕"</formula>
    </cfRule>
    <cfRule type="cellIs" dxfId="375" priority="44" operator="equal">
      <formula>"休"</formula>
    </cfRule>
  </conditionalFormatting>
  <conditionalFormatting sqref="D9:P10">
    <cfRule type="containsText" dxfId="374" priority="21" operator="containsText" text="㉕">
      <formula>NOT(ISERROR(SEARCH("㉕",D9)))</formula>
    </cfRule>
    <cfRule type="containsText" dxfId="373" priority="22" operator="containsText" text="休">
      <formula>NOT(ISERROR(SEARCH("休",D9)))</formula>
    </cfRule>
    <cfRule type="cellIs" dxfId="372" priority="23" operator="equal">
      <formula>"㉕"</formula>
    </cfRule>
    <cfRule type="cellIs" dxfId="371" priority="24" operator="equal">
      <formula>"休"</formula>
    </cfRule>
  </conditionalFormatting>
  <conditionalFormatting sqref="D17:P17">
    <cfRule type="containsText" dxfId="370" priority="13" operator="containsText" text="㉕">
      <formula>NOT(ISERROR(SEARCH("㉕",D17)))</formula>
    </cfRule>
    <cfRule type="containsText" dxfId="369" priority="14" operator="containsText" text="休">
      <formula>NOT(ISERROR(SEARCH("休",D17)))</formula>
    </cfRule>
    <cfRule type="cellIs" dxfId="368" priority="15" operator="equal">
      <formula>"㉕"</formula>
    </cfRule>
    <cfRule type="cellIs" dxfId="367" priority="16" operator="equal">
      <formula>"休"</formula>
    </cfRule>
  </conditionalFormatting>
  <conditionalFormatting sqref="D11:AG15 D16:AB16">
    <cfRule type="containsText" dxfId="366" priority="9" operator="containsText" text="㉕">
      <formula>NOT(ISERROR(SEARCH("㉕",D11)))</formula>
    </cfRule>
  </conditionalFormatting>
  <conditionalFormatting sqref="D11:AG15 D16:AC16">
    <cfRule type="cellIs" dxfId="365" priority="11" operator="equal">
      <formula>"㉕"</formula>
    </cfRule>
    <cfRule type="containsText" dxfId="364" priority="10" operator="containsText" text="休">
      <formula>NOT(ISERROR(SEARCH("休",D11)))</formula>
    </cfRule>
    <cfRule type="cellIs" dxfId="363" priority="12" operator="equal">
      <formula>"休"</formula>
    </cfRule>
  </conditionalFormatting>
  <conditionalFormatting sqref="D18:AG18">
    <cfRule type="containsText" dxfId="362" priority="5" operator="containsText" text="㉕">
      <formula>NOT(ISERROR(SEARCH("㉕",D18)))</formula>
    </cfRule>
    <cfRule type="containsText" dxfId="361" priority="6" operator="containsText" text="休">
      <formula>NOT(ISERROR(SEARCH("休",D18)))</formula>
    </cfRule>
    <cfRule type="cellIs" dxfId="360" priority="7" operator="equal">
      <formula>"㉕"</formula>
    </cfRule>
    <cfRule type="cellIs" dxfId="359" priority="8" operator="equal">
      <formula>"休"</formula>
    </cfRule>
  </conditionalFormatting>
  <conditionalFormatting sqref="D3:AH4">
    <cfRule type="expression" dxfId="358" priority="176">
      <formula>OR(WEEKDAY(D$3)=7,WEEKDAY(D$3)=1)</formula>
    </cfRule>
  </conditionalFormatting>
  <conditionalFormatting sqref="D5:AH7">
    <cfRule type="notContainsBlanks" dxfId="357" priority="175">
      <formula>LEN(TRIM(D5))&gt;0</formula>
    </cfRule>
  </conditionalFormatting>
  <conditionalFormatting sqref="D19:AH19">
    <cfRule type="containsText" dxfId="356" priority="2" operator="containsText" text="休">
      <formula>NOT(ISERROR(SEARCH("休",D19)))</formula>
    </cfRule>
    <cfRule type="cellIs" dxfId="355" priority="3" operator="equal">
      <formula>"㉕"</formula>
    </cfRule>
    <cfRule type="cellIs" dxfId="354" priority="4" operator="equal">
      <formula>"休"</formula>
    </cfRule>
    <cfRule type="containsText" dxfId="353" priority="1" operator="containsText" text="㉕">
      <formula>NOT(ISERROR(SEARCH("㉕",D19)))</formula>
    </cfRule>
  </conditionalFormatting>
  <conditionalFormatting sqref="D20:AH21">
    <cfRule type="expression" dxfId="352" priority="177">
      <formula>OR(WEEKDAY(D$3)=7,WEEKDAY(D$3)=1)</formula>
    </cfRule>
  </conditionalFormatting>
  <conditionalFormatting sqref="D24:AH25">
    <cfRule type="expression" dxfId="351" priority="178">
      <formula>OR(WEEKDAY(D$3)=7,WEEKDAY(D$3)=1)</formula>
    </cfRule>
  </conditionalFormatting>
  <conditionalFormatting sqref="D28:AH31">
    <cfRule type="expression" dxfId="350" priority="179">
      <formula>OR(WEEKDAY(D$3)=7,WEEKDAY(D$3)=1)</formula>
    </cfRule>
  </conditionalFormatting>
  <conditionalFormatting sqref="D36:AH37">
    <cfRule type="expression" dxfId="349" priority="180">
      <formula>OR(WEEKDAY(D$3)=7,WEEKDAY(D$3)=1)</formula>
    </cfRule>
  </conditionalFormatting>
  <conditionalFormatting sqref="F8:I8">
    <cfRule type="cellIs" dxfId="348" priority="84" operator="equal">
      <formula>"㉕"</formula>
    </cfRule>
    <cfRule type="cellIs" dxfId="347" priority="85" operator="equal">
      <formula>"休"</formula>
    </cfRule>
    <cfRule type="containsText" dxfId="346" priority="83" operator="containsText" text="休">
      <formula>NOT(ISERROR(SEARCH("休",F8)))</formula>
    </cfRule>
  </conditionalFormatting>
  <conditionalFormatting sqref="F8:P8">
    <cfRule type="containsText" dxfId="345" priority="79" operator="containsText" text="㉕">
      <formula>NOT(ISERROR(SEARCH("㉕",F8)))</formula>
    </cfRule>
  </conditionalFormatting>
  <conditionalFormatting sqref="J8:K8">
    <cfRule type="containsText" dxfId="344" priority="78" operator="containsText" text="休">
      <formula>NOT(ISERROR(SEARCH("休",J8)))</formula>
    </cfRule>
  </conditionalFormatting>
  <conditionalFormatting sqref="L8:P8">
    <cfRule type="cellIs" dxfId="343" priority="82" operator="equal">
      <formula>"休"</formula>
    </cfRule>
    <cfRule type="cellIs" dxfId="342" priority="81" operator="equal">
      <formula>"㉕"</formula>
    </cfRule>
    <cfRule type="containsText" dxfId="341" priority="80" operator="containsText" text="休">
      <formula>NOT(ISERROR(SEARCH("休",L8)))</formula>
    </cfRule>
  </conditionalFormatting>
  <conditionalFormatting sqref="Q8:Q10">
    <cfRule type="cellIs" dxfId="340" priority="52" operator="equal">
      <formula>"休"</formula>
    </cfRule>
    <cfRule type="containsText" dxfId="339" priority="49" operator="containsText" text="㉕">
      <formula>NOT(ISERROR(SEARCH("㉕",Q8)))</formula>
    </cfRule>
  </conditionalFormatting>
  <conditionalFormatting sqref="Q9">
    <cfRule type="cellIs" dxfId="338" priority="68" operator="equal">
      <formula>"㉕"</formula>
    </cfRule>
  </conditionalFormatting>
  <conditionalFormatting sqref="Q10">
    <cfRule type="cellIs" dxfId="337" priority="51" operator="equal">
      <formula>"㉕"</formula>
    </cfRule>
    <cfRule type="containsText" dxfId="336" priority="50" operator="containsText" text="休">
      <formula>NOT(ISERROR(SEARCH("休",Q10)))</formula>
    </cfRule>
  </conditionalFormatting>
  <conditionalFormatting sqref="Q9:T9">
    <cfRule type="containsText" dxfId="335" priority="66" operator="containsText" text="休">
      <formula>NOT(ISERROR(SEARCH("休",Q9)))</formula>
    </cfRule>
  </conditionalFormatting>
  <conditionalFormatting sqref="Q8:W8">
    <cfRule type="containsText" dxfId="334" priority="53" operator="containsText" text="休">
      <formula>NOT(ISERROR(SEARCH("休",Q8)))</formula>
    </cfRule>
    <cfRule type="cellIs" dxfId="333" priority="54" operator="equal">
      <formula>"㉕"</formula>
    </cfRule>
  </conditionalFormatting>
  <conditionalFormatting sqref="Q17:AF17">
    <cfRule type="cellIs" dxfId="332" priority="75" operator="equal">
      <formula>"㉕"</formula>
    </cfRule>
    <cfRule type="cellIs" dxfId="331" priority="76" operator="equal">
      <formula>"休"</formula>
    </cfRule>
    <cfRule type="containsText" dxfId="330" priority="74" operator="containsText" text="休">
      <formula>NOT(ISERROR(SEARCH("休",Q17)))</formula>
    </cfRule>
    <cfRule type="containsText" dxfId="329" priority="73" operator="containsText" text="㉕">
      <formula>NOT(ISERROR(SEARCH("㉕",Q17)))</formula>
    </cfRule>
  </conditionalFormatting>
  <conditionalFormatting sqref="R9">
    <cfRule type="containsText" dxfId="328" priority="77" operator="containsText" text="㉕">
      <formula>NOT(ISERROR(SEARCH("㉕",R9)))</formula>
    </cfRule>
  </conditionalFormatting>
  <conditionalFormatting sqref="R8:AG8">
    <cfRule type="containsText" dxfId="327" priority="37" operator="containsText" text="㉕">
      <formula>NOT(ISERROR(SEARCH("㉕",R8)))</formula>
    </cfRule>
    <cfRule type="cellIs" dxfId="326" priority="40" operator="equal">
      <formula>"休"</formula>
    </cfRule>
  </conditionalFormatting>
  <conditionalFormatting sqref="R10:AG10">
    <cfRule type="containsText" dxfId="325" priority="25" operator="containsText" text="㉕">
      <formula>NOT(ISERROR(SEARCH("㉕",R10)))</formula>
    </cfRule>
    <cfRule type="containsText" dxfId="324" priority="26" operator="containsText" text="休">
      <formula>NOT(ISERROR(SEARCH("休",R10)))</formula>
    </cfRule>
    <cfRule type="cellIs" dxfId="323" priority="27" operator="equal">
      <formula>"㉕"</formula>
    </cfRule>
    <cfRule type="cellIs" dxfId="322" priority="28" operator="equal">
      <formula>"休"</formula>
    </cfRule>
  </conditionalFormatting>
  <conditionalFormatting sqref="S9:T9">
    <cfRule type="cellIs" dxfId="321" priority="67" operator="equal">
      <formula>"㉕"</formula>
    </cfRule>
  </conditionalFormatting>
  <conditionalFormatting sqref="S9:Y9">
    <cfRule type="containsText" dxfId="320" priority="33" operator="containsText" text="㉕">
      <formula>NOT(ISERROR(SEARCH("㉕",S9)))</formula>
    </cfRule>
    <cfRule type="cellIs" dxfId="319" priority="36" operator="equal">
      <formula>"休"</formula>
    </cfRule>
  </conditionalFormatting>
  <conditionalFormatting sqref="U17">
    <cfRule type="containsText" dxfId="318" priority="59" operator="containsText" text="休">
      <formula>NOT(ISERROR(SEARCH("休",U17)))</formula>
    </cfRule>
    <cfRule type="cellIs" dxfId="317" priority="60" operator="equal">
      <formula>"㉕"</formula>
    </cfRule>
    <cfRule type="cellIs" dxfId="316" priority="61" operator="equal">
      <formula>"休"</formula>
    </cfRule>
  </conditionalFormatting>
  <conditionalFormatting sqref="U9:Y9">
    <cfRule type="containsText" dxfId="315" priority="34" operator="containsText" text="休">
      <formula>NOT(ISERROR(SEARCH("休",U9)))</formula>
    </cfRule>
    <cfRule type="cellIs" dxfId="314" priority="35" operator="equal">
      <formula>"㉕"</formula>
    </cfRule>
  </conditionalFormatting>
  <conditionalFormatting sqref="X8:AG8">
    <cfRule type="cellIs" dxfId="313" priority="39" operator="equal">
      <formula>"㉕"</formula>
    </cfRule>
    <cfRule type="containsText" dxfId="312" priority="38" operator="containsText" text="休">
      <formula>NOT(ISERROR(SEARCH("休",X8)))</formula>
    </cfRule>
  </conditionalFormatting>
  <conditionalFormatting sqref="Z9">
    <cfRule type="containsText" dxfId="311" priority="65" operator="containsText" text="㉕">
      <formula>NOT(ISERROR(SEARCH("㉕",Z9)))</formula>
    </cfRule>
  </conditionalFormatting>
  <conditionalFormatting sqref="Z9:AG9">
    <cfRule type="containsText" dxfId="310" priority="62" operator="containsText" text="休">
      <formula>NOT(ISERROR(SEARCH("休",Z9)))</formula>
    </cfRule>
  </conditionalFormatting>
  <conditionalFormatting sqref="AA9:AG9">
    <cfRule type="cellIs" dxfId="309" priority="64" operator="equal">
      <formula>"休"</formula>
    </cfRule>
    <cfRule type="containsText" dxfId="308" priority="55" operator="containsText" text="㉕">
      <formula>NOT(ISERROR(SEARCH("㉕",AA9)))</formula>
    </cfRule>
    <cfRule type="cellIs" dxfId="307" priority="63" operator="equal">
      <formula>"㉕"</formula>
    </cfRule>
  </conditionalFormatting>
  <conditionalFormatting sqref="AC16:AG16">
    <cfRule type="containsText" dxfId="306" priority="69" operator="containsText" text="㉕">
      <formula>NOT(ISERROR(SEARCH("㉕",AC16)))</formula>
    </cfRule>
    <cfRule type="containsText" dxfId="305" priority="70" operator="containsText" text="休">
      <formula>NOT(ISERROR(SEARCH("休",AC16)))</formula>
    </cfRule>
    <cfRule type="cellIs" dxfId="304" priority="71" operator="equal">
      <formula>"㉕"</formula>
    </cfRule>
    <cfRule type="cellIs" dxfId="303" priority="72" operator="equal">
      <formula>"休"</formula>
    </cfRule>
  </conditionalFormatting>
  <conditionalFormatting sqref="AF16">
    <cfRule type="cellIs" dxfId="302" priority="58" operator="equal">
      <formula>"休"</formula>
    </cfRule>
    <cfRule type="cellIs" dxfId="301" priority="57" operator="equal">
      <formula>"㉕"</formula>
    </cfRule>
    <cfRule type="containsText" dxfId="300" priority="56" operator="containsText" text="休">
      <formula>NOT(ISERROR(SEARCH("休",AF16)))</formula>
    </cfRule>
  </conditionalFormatting>
  <conditionalFormatting sqref="AG17">
    <cfRule type="containsText" dxfId="299" priority="45" operator="containsText" text="㉕">
      <formula>NOT(ISERROR(SEARCH("㉕",AG17)))</formula>
    </cfRule>
    <cfRule type="cellIs" dxfId="298" priority="48" operator="equal">
      <formula>"休"</formula>
    </cfRule>
    <cfRule type="cellIs" dxfId="297" priority="47" operator="equal">
      <formula>"㉕"</formula>
    </cfRule>
    <cfRule type="containsText" dxfId="296" priority="46" operator="containsText" text="休">
      <formula>NOT(ISERROR(SEARCH("休",AG17)))</formula>
    </cfRule>
  </conditionalFormatting>
  <conditionalFormatting sqref="AH8:AH18">
    <cfRule type="containsText" dxfId="295" priority="86" operator="containsText" text="㉕">
      <formula>NOT(ISERROR(SEARCH("㉕",AH8)))</formula>
    </cfRule>
    <cfRule type="containsText" dxfId="294" priority="87" operator="containsText" text="休">
      <formula>NOT(ISERROR(SEARCH("休",AH8)))</formula>
    </cfRule>
    <cfRule type="cellIs" dxfId="293" priority="88" operator="equal">
      <formula>"㉕"</formula>
    </cfRule>
    <cfRule type="cellIs" dxfId="292" priority="89" operator="equal">
      <formula>"休"</formula>
    </cfRule>
  </conditionalFormatting>
  <pageMargins left="0.19685039370078741" right="0.11811023622047245" top="0.11811023622047245" bottom="0.35433070866141736" header="0.31496062992125984" footer="0.31496062992125984"/>
  <pageSetup paperSize="9" scale="37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67415-A9E7-4D6D-B48C-640E4EDCCADA}">
  <sheetPr>
    <pageSetUpPr fitToPage="1"/>
  </sheetPr>
  <dimension ref="B2:AO39"/>
  <sheetViews>
    <sheetView zoomScale="50" zoomScaleNormal="50" workbookViewId="0"/>
  </sheetViews>
  <sheetFormatPr defaultRowHeight="13" x14ac:dyDescent="0.2"/>
  <cols>
    <col min="1" max="3" width="8.7265625" style="14"/>
    <col min="4" max="34" width="11.1796875" style="14" customWidth="1"/>
    <col min="35" max="16384" width="8.7265625" style="14"/>
  </cols>
  <sheetData>
    <row r="2" spans="2:41" ht="41.5" thickBot="1" x14ac:dyDescent="0.25">
      <c r="B2" s="217" t="str">
        <f>AN3 &amp; "年" &amp; AO3 &amp; "月　勤務表"</f>
        <v>2026年8月　勤務表</v>
      </c>
      <c r="C2" s="217"/>
      <c r="D2" s="217"/>
      <c r="E2" s="217"/>
      <c r="F2" s="217"/>
      <c r="G2" s="217"/>
      <c r="H2" s="217"/>
      <c r="I2" s="217"/>
      <c r="J2" s="217"/>
      <c r="K2" s="217"/>
      <c r="L2" s="217"/>
      <c r="M2" s="217"/>
      <c r="N2" s="217"/>
      <c r="O2" s="217"/>
      <c r="P2" s="217"/>
      <c r="Q2" s="217"/>
      <c r="R2" s="217"/>
      <c r="S2" s="217"/>
      <c r="T2" s="217"/>
      <c r="U2" s="217"/>
      <c r="V2" s="217"/>
      <c r="W2" s="217"/>
      <c r="X2" s="217"/>
      <c r="Y2" s="217"/>
      <c r="Z2" s="217"/>
      <c r="AA2" s="217"/>
      <c r="AB2" s="217"/>
      <c r="AC2" s="217"/>
      <c r="AD2" s="217"/>
      <c r="AE2" s="217"/>
      <c r="AF2" s="217"/>
      <c r="AG2" s="217"/>
      <c r="AH2" s="217"/>
      <c r="AI2" s="217"/>
      <c r="AJ2" s="217"/>
    </row>
    <row r="3" spans="2:41" ht="25" x14ac:dyDescent="0.2">
      <c r="B3" s="218" t="str">
        <f>AN3&amp;"年
" &amp;AO3 &amp; "月"</f>
        <v>2026年
8月</v>
      </c>
      <c r="C3" s="219"/>
      <c r="D3" s="15">
        <f>DATE(AN3,AO3,1)</f>
        <v>46235</v>
      </c>
      <c r="E3" s="16">
        <f>D3+1</f>
        <v>46236</v>
      </c>
      <c r="F3" s="16">
        <f t="shared" ref="F3:AH3" si="0">E3+1</f>
        <v>46237</v>
      </c>
      <c r="G3" s="16">
        <f t="shared" si="0"/>
        <v>46238</v>
      </c>
      <c r="H3" s="16">
        <f t="shared" si="0"/>
        <v>46239</v>
      </c>
      <c r="I3" s="16">
        <f t="shared" si="0"/>
        <v>46240</v>
      </c>
      <c r="J3" s="16">
        <f>I3+1</f>
        <v>46241</v>
      </c>
      <c r="K3" s="15">
        <f t="shared" si="0"/>
        <v>46242</v>
      </c>
      <c r="L3" s="16">
        <f t="shared" si="0"/>
        <v>46243</v>
      </c>
      <c r="M3" s="16">
        <f t="shared" si="0"/>
        <v>46244</v>
      </c>
      <c r="N3" s="17">
        <f>M3+1</f>
        <v>46245</v>
      </c>
      <c r="O3" s="16">
        <f t="shared" si="0"/>
        <v>46246</v>
      </c>
      <c r="P3" s="16">
        <f t="shared" si="0"/>
        <v>46247</v>
      </c>
      <c r="Q3" s="16">
        <f t="shared" si="0"/>
        <v>46248</v>
      </c>
      <c r="R3" s="16">
        <f t="shared" si="0"/>
        <v>46249</v>
      </c>
      <c r="S3" s="16">
        <f t="shared" si="0"/>
        <v>46250</v>
      </c>
      <c r="T3" s="16">
        <f t="shared" si="0"/>
        <v>46251</v>
      </c>
      <c r="U3" s="16">
        <f t="shared" si="0"/>
        <v>46252</v>
      </c>
      <c r="V3" s="16">
        <f t="shared" si="0"/>
        <v>46253</v>
      </c>
      <c r="W3" s="16">
        <f t="shared" si="0"/>
        <v>46254</v>
      </c>
      <c r="X3" s="16">
        <f t="shared" si="0"/>
        <v>46255</v>
      </c>
      <c r="Y3" s="16">
        <f t="shared" si="0"/>
        <v>46256</v>
      </c>
      <c r="Z3" s="16">
        <f>Y3+1</f>
        <v>46257</v>
      </c>
      <c r="AA3" s="16">
        <f t="shared" si="0"/>
        <v>46258</v>
      </c>
      <c r="AB3" s="16">
        <f t="shared" si="0"/>
        <v>46259</v>
      </c>
      <c r="AC3" s="16">
        <f t="shared" si="0"/>
        <v>46260</v>
      </c>
      <c r="AD3" s="16">
        <f>AC3+1</f>
        <v>46261</v>
      </c>
      <c r="AE3" s="16">
        <f t="shared" si="0"/>
        <v>46262</v>
      </c>
      <c r="AF3" s="16">
        <f>AE3+1</f>
        <v>46263</v>
      </c>
      <c r="AG3" s="16">
        <f t="shared" si="0"/>
        <v>46264</v>
      </c>
      <c r="AH3" s="16">
        <f t="shared" si="0"/>
        <v>46265</v>
      </c>
      <c r="AI3" s="222" t="str">
        <f>B3</f>
        <v>2026年
8月</v>
      </c>
      <c r="AJ3" s="223"/>
      <c r="AN3" s="14">
        <v>2026</v>
      </c>
      <c r="AO3" s="14">
        <v>8</v>
      </c>
    </row>
    <row r="4" spans="2:41" ht="25.5" thickBot="1" x14ac:dyDescent="0.25">
      <c r="B4" s="220"/>
      <c r="C4" s="221"/>
      <c r="D4" s="18">
        <f>D3</f>
        <v>46235</v>
      </c>
      <c r="E4" s="18">
        <f t="shared" ref="E4:AE4" si="1">E3</f>
        <v>46236</v>
      </c>
      <c r="F4" s="18">
        <f t="shared" si="1"/>
        <v>46237</v>
      </c>
      <c r="G4" s="18">
        <f t="shared" si="1"/>
        <v>46238</v>
      </c>
      <c r="H4" s="18">
        <f t="shared" si="1"/>
        <v>46239</v>
      </c>
      <c r="I4" s="18">
        <f t="shared" si="1"/>
        <v>46240</v>
      </c>
      <c r="J4" s="18">
        <f t="shared" si="1"/>
        <v>46241</v>
      </c>
      <c r="K4" s="18">
        <f t="shared" si="1"/>
        <v>46242</v>
      </c>
      <c r="L4" s="18">
        <f t="shared" si="1"/>
        <v>46243</v>
      </c>
      <c r="M4" s="18">
        <f t="shared" si="1"/>
        <v>46244</v>
      </c>
      <c r="N4" s="19">
        <f t="shared" si="1"/>
        <v>46245</v>
      </c>
      <c r="O4" s="18">
        <f t="shared" si="1"/>
        <v>46246</v>
      </c>
      <c r="P4" s="18">
        <f t="shared" si="1"/>
        <v>46247</v>
      </c>
      <c r="Q4" s="18">
        <f t="shared" si="1"/>
        <v>46248</v>
      </c>
      <c r="R4" s="18">
        <f t="shared" si="1"/>
        <v>46249</v>
      </c>
      <c r="S4" s="18">
        <f t="shared" si="1"/>
        <v>46250</v>
      </c>
      <c r="T4" s="18">
        <f t="shared" si="1"/>
        <v>46251</v>
      </c>
      <c r="U4" s="18">
        <f t="shared" si="1"/>
        <v>46252</v>
      </c>
      <c r="V4" s="18">
        <f t="shared" si="1"/>
        <v>46253</v>
      </c>
      <c r="W4" s="18">
        <f t="shared" si="1"/>
        <v>46254</v>
      </c>
      <c r="X4" s="18">
        <f t="shared" si="1"/>
        <v>46255</v>
      </c>
      <c r="Y4" s="18">
        <f t="shared" si="1"/>
        <v>46256</v>
      </c>
      <c r="Z4" s="18">
        <f t="shared" si="1"/>
        <v>46257</v>
      </c>
      <c r="AA4" s="18">
        <f t="shared" si="1"/>
        <v>46258</v>
      </c>
      <c r="AB4" s="18">
        <f t="shared" si="1"/>
        <v>46259</v>
      </c>
      <c r="AC4" s="18">
        <f t="shared" si="1"/>
        <v>46260</v>
      </c>
      <c r="AD4" s="18">
        <f t="shared" si="1"/>
        <v>46261</v>
      </c>
      <c r="AE4" s="18">
        <f t="shared" si="1"/>
        <v>46262</v>
      </c>
      <c r="AF4" s="18">
        <f>AF3</f>
        <v>46263</v>
      </c>
      <c r="AG4" s="18">
        <f>AG3</f>
        <v>46264</v>
      </c>
      <c r="AH4" s="18">
        <f>AH3</f>
        <v>46265</v>
      </c>
      <c r="AI4" s="224"/>
      <c r="AJ4" s="225"/>
    </row>
    <row r="5" spans="2:41" ht="41" x14ac:dyDescent="0.2">
      <c r="B5" s="226" t="s">
        <v>75</v>
      </c>
      <c r="C5" s="227"/>
      <c r="D5" s="20" t="s">
        <v>0</v>
      </c>
      <c r="E5" s="21" t="s">
        <v>2</v>
      </c>
      <c r="F5" s="20" t="s">
        <v>1</v>
      </c>
      <c r="G5" s="20" t="s">
        <v>1</v>
      </c>
      <c r="H5" s="20" t="s">
        <v>1</v>
      </c>
      <c r="I5" s="20" t="s">
        <v>0</v>
      </c>
      <c r="J5" s="20" t="s">
        <v>298</v>
      </c>
      <c r="K5" s="23" t="s">
        <v>2</v>
      </c>
      <c r="L5" s="24" t="s">
        <v>1</v>
      </c>
      <c r="M5" s="20" t="s">
        <v>1</v>
      </c>
      <c r="N5" s="20" t="s">
        <v>544</v>
      </c>
      <c r="O5" s="20" t="s">
        <v>1</v>
      </c>
      <c r="P5" s="20" t="s">
        <v>1</v>
      </c>
      <c r="Q5" s="20" t="s">
        <v>1</v>
      </c>
      <c r="R5" s="20" t="s">
        <v>2</v>
      </c>
      <c r="S5" s="20" t="s">
        <v>0</v>
      </c>
      <c r="T5" s="24" t="s">
        <v>1</v>
      </c>
      <c r="U5" s="20" t="s">
        <v>299</v>
      </c>
      <c r="V5" s="20" t="s">
        <v>1</v>
      </c>
      <c r="W5" s="20" t="s">
        <v>1</v>
      </c>
      <c r="X5" s="20" t="s">
        <v>1</v>
      </c>
      <c r="Y5" s="24"/>
      <c r="Z5" s="24" t="s">
        <v>426</v>
      </c>
      <c r="AA5" s="20" t="s">
        <v>3</v>
      </c>
      <c r="AB5" s="20" t="s">
        <v>1</v>
      </c>
      <c r="AC5" s="24" t="s">
        <v>1</v>
      </c>
      <c r="AD5" s="20" t="s">
        <v>0</v>
      </c>
      <c r="AE5" s="24" t="s">
        <v>1</v>
      </c>
      <c r="AF5" s="20" t="s">
        <v>2</v>
      </c>
      <c r="AG5" s="24"/>
      <c r="AH5" s="139"/>
      <c r="AI5" s="228" t="s">
        <v>75</v>
      </c>
      <c r="AJ5" s="229"/>
    </row>
    <row r="6" spans="2:41" ht="20.5" x14ac:dyDescent="0.2">
      <c r="B6" s="226"/>
      <c r="C6" s="227"/>
      <c r="D6" s="20" t="s">
        <v>1</v>
      </c>
      <c r="E6" s="25" t="s">
        <v>1</v>
      </c>
      <c r="F6" s="23" t="s">
        <v>1</v>
      </c>
      <c r="G6" s="23" t="s">
        <v>1</v>
      </c>
      <c r="H6" s="20" t="s">
        <v>1</v>
      </c>
      <c r="I6" s="20" t="s">
        <v>1</v>
      </c>
      <c r="J6" s="24" t="s">
        <v>1</v>
      </c>
      <c r="K6" s="24" t="s">
        <v>1</v>
      </c>
      <c r="L6" s="24" t="s">
        <v>1</v>
      </c>
      <c r="M6" s="23" t="s">
        <v>1</v>
      </c>
      <c r="N6" s="20" t="s">
        <v>482</v>
      </c>
      <c r="O6" s="20" t="s">
        <v>1</v>
      </c>
      <c r="P6" s="20"/>
      <c r="Q6" s="24" t="s">
        <v>1</v>
      </c>
      <c r="R6" s="23" t="s">
        <v>1</v>
      </c>
      <c r="S6" s="24" t="s">
        <v>1</v>
      </c>
      <c r="T6" s="25" t="s">
        <v>1</v>
      </c>
      <c r="U6" s="20" t="s">
        <v>1</v>
      </c>
      <c r="V6" s="20" t="s">
        <v>1</v>
      </c>
      <c r="W6" s="20"/>
      <c r="X6" s="20" t="s">
        <v>1</v>
      </c>
      <c r="Y6" s="24" t="s">
        <v>1</v>
      </c>
      <c r="Z6" s="24"/>
      <c r="AA6" s="24" t="s">
        <v>1</v>
      </c>
      <c r="AB6" s="24" t="s">
        <v>1</v>
      </c>
      <c r="AC6" s="24" t="s">
        <v>1</v>
      </c>
      <c r="AD6" s="25" t="s">
        <v>1</v>
      </c>
      <c r="AE6" s="25" t="s">
        <v>1</v>
      </c>
      <c r="AF6" s="23" t="s">
        <v>1</v>
      </c>
      <c r="AG6" s="25" t="s">
        <v>1</v>
      </c>
      <c r="AH6" s="140"/>
      <c r="AI6" s="228"/>
      <c r="AJ6" s="229"/>
    </row>
    <row r="7" spans="2:41" ht="21" thickBot="1" x14ac:dyDescent="0.25">
      <c r="B7" s="213" t="s">
        <v>76</v>
      </c>
      <c r="C7" s="214"/>
      <c r="D7" s="27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141"/>
      <c r="AI7" s="215" t="s">
        <v>76</v>
      </c>
      <c r="AJ7" s="216"/>
    </row>
    <row r="8" spans="2:41" ht="102" customHeight="1" x14ac:dyDescent="0.2">
      <c r="B8" s="29" t="s">
        <v>354</v>
      </c>
      <c r="C8" s="30"/>
      <c r="D8" s="115" t="s">
        <v>545</v>
      </c>
      <c r="E8" s="115" t="s">
        <v>5</v>
      </c>
      <c r="F8" s="152" t="s">
        <v>4</v>
      </c>
      <c r="G8" s="115" t="s">
        <v>4</v>
      </c>
      <c r="H8" s="115" t="s">
        <v>432</v>
      </c>
      <c r="I8" s="115" t="s">
        <v>433</v>
      </c>
      <c r="J8" s="115" t="s">
        <v>546</v>
      </c>
      <c r="K8" s="115" t="s">
        <v>5</v>
      </c>
      <c r="L8" s="115" t="s">
        <v>6</v>
      </c>
      <c r="M8" s="115" t="s">
        <v>7</v>
      </c>
      <c r="N8" s="115" t="s">
        <v>5</v>
      </c>
      <c r="O8" s="115" t="s">
        <v>4</v>
      </c>
      <c r="P8" s="115" t="s">
        <v>433</v>
      </c>
      <c r="Q8" s="152" t="s">
        <v>360</v>
      </c>
      <c r="R8" s="32" t="s">
        <v>340</v>
      </c>
      <c r="S8" s="115" t="s">
        <v>5</v>
      </c>
      <c r="T8" s="152" t="s">
        <v>4</v>
      </c>
      <c r="U8" s="115" t="s">
        <v>4</v>
      </c>
      <c r="V8" s="115" t="s">
        <v>434</v>
      </c>
      <c r="W8" s="115" t="s">
        <v>433</v>
      </c>
      <c r="X8" s="115" t="s">
        <v>4</v>
      </c>
      <c r="Y8" s="115" t="s">
        <v>5</v>
      </c>
      <c r="Z8" s="115" t="s">
        <v>5</v>
      </c>
      <c r="AA8" s="152" t="s">
        <v>4</v>
      </c>
      <c r="AB8" s="115" t="s">
        <v>4</v>
      </c>
      <c r="AC8" s="115" t="s">
        <v>432</v>
      </c>
      <c r="AD8" s="115" t="s">
        <v>433</v>
      </c>
      <c r="AE8" s="115" t="s">
        <v>432</v>
      </c>
      <c r="AF8" s="148" t="s">
        <v>498</v>
      </c>
      <c r="AG8" s="115" t="s">
        <v>5</v>
      </c>
      <c r="AH8" s="115" t="s">
        <v>4</v>
      </c>
      <c r="AI8" s="29" t="s">
        <v>354</v>
      </c>
      <c r="AJ8" s="30"/>
    </row>
    <row r="9" spans="2:41" ht="59.5" customHeight="1" x14ac:dyDescent="0.2">
      <c r="B9" s="41" t="s">
        <v>355</v>
      </c>
      <c r="C9" s="42"/>
      <c r="D9" s="115" t="s">
        <v>5</v>
      </c>
      <c r="E9" s="115" t="s">
        <v>6</v>
      </c>
      <c r="F9" s="115" t="s">
        <v>7</v>
      </c>
      <c r="G9" s="152" t="s">
        <v>8</v>
      </c>
      <c r="H9" s="152" t="s">
        <v>8</v>
      </c>
      <c r="I9" s="115" t="s">
        <v>6</v>
      </c>
      <c r="J9" s="115" t="s">
        <v>347</v>
      </c>
      <c r="K9" s="115" t="s">
        <v>5</v>
      </c>
      <c r="L9" s="115" t="s">
        <v>5</v>
      </c>
      <c r="M9" s="115" t="s">
        <v>6</v>
      </c>
      <c r="N9" s="115" t="s">
        <v>7</v>
      </c>
      <c r="O9" s="115" t="s">
        <v>6</v>
      </c>
      <c r="P9" s="115" t="s">
        <v>7</v>
      </c>
      <c r="Q9" s="115" t="s">
        <v>358</v>
      </c>
      <c r="R9" s="115" t="s">
        <v>6</v>
      </c>
      <c r="S9" s="115" t="s">
        <v>7</v>
      </c>
      <c r="T9" s="115" t="s">
        <v>8</v>
      </c>
      <c r="U9" s="152" t="s">
        <v>8</v>
      </c>
      <c r="V9" s="115" t="s">
        <v>5</v>
      </c>
      <c r="W9" s="115" t="s">
        <v>5</v>
      </c>
      <c r="X9" s="115" t="s">
        <v>6</v>
      </c>
      <c r="Y9" s="32" t="s">
        <v>7</v>
      </c>
      <c r="Z9" s="115" t="s">
        <v>8</v>
      </c>
      <c r="AA9" s="115" t="s">
        <v>6</v>
      </c>
      <c r="AB9" s="115" t="s">
        <v>7</v>
      </c>
      <c r="AC9" s="152" t="s">
        <v>8</v>
      </c>
      <c r="AD9" s="115" t="s">
        <v>5</v>
      </c>
      <c r="AE9" s="115" t="s">
        <v>8</v>
      </c>
      <c r="AF9" s="115" t="s">
        <v>8</v>
      </c>
      <c r="AG9" s="115" t="s">
        <v>8</v>
      </c>
      <c r="AH9" s="115" t="s">
        <v>6</v>
      </c>
      <c r="AI9" s="41" t="s">
        <v>355</v>
      </c>
      <c r="AJ9" s="42"/>
    </row>
    <row r="10" spans="2:41" ht="87" customHeight="1" x14ac:dyDescent="0.2">
      <c r="B10" s="41" t="s">
        <v>87</v>
      </c>
      <c r="C10" s="42"/>
      <c r="D10" s="115" t="s">
        <v>6</v>
      </c>
      <c r="E10" s="115" t="s">
        <v>7</v>
      </c>
      <c r="F10" s="115" t="s">
        <v>6</v>
      </c>
      <c r="G10" s="115" t="s">
        <v>7</v>
      </c>
      <c r="H10" s="115" t="s">
        <v>6</v>
      </c>
      <c r="I10" s="115" t="s">
        <v>7</v>
      </c>
      <c r="J10" s="115" t="s">
        <v>6</v>
      </c>
      <c r="K10" s="115" t="s">
        <v>7</v>
      </c>
      <c r="L10" s="32" t="s">
        <v>340</v>
      </c>
      <c r="M10" s="115" t="s">
        <v>5</v>
      </c>
      <c r="N10" s="115" t="s">
        <v>8</v>
      </c>
      <c r="O10" s="152" t="s">
        <v>8</v>
      </c>
      <c r="P10" s="115" t="s">
        <v>6</v>
      </c>
      <c r="Q10" s="115" t="s">
        <v>7</v>
      </c>
      <c r="R10" s="152" t="s">
        <v>8</v>
      </c>
      <c r="S10" s="115" t="s">
        <v>6</v>
      </c>
      <c r="T10" s="116" t="s">
        <v>436</v>
      </c>
      <c r="U10" s="117" t="s">
        <v>335</v>
      </c>
      <c r="V10" s="152" t="s">
        <v>8</v>
      </c>
      <c r="W10" s="152" t="s">
        <v>8</v>
      </c>
      <c r="X10" s="115" t="s">
        <v>5</v>
      </c>
      <c r="Y10" s="115" t="s">
        <v>5</v>
      </c>
      <c r="Z10" s="115" t="s">
        <v>6</v>
      </c>
      <c r="AA10" s="115" t="s">
        <v>7</v>
      </c>
      <c r="AB10" s="115" t="s">
        <v>5</v>
      </c>
      <c r="AC10" s="115" t="s">
        <v>5</v>
      </c>
      <c r="AD10" s="115" t="s">
        <v>6</v>
      </c>
      <c r="AE10" s="115" t="s">
        <v>7</v>
      </c>
      <c r="AF10" s="115" t="s">
        <v>5</v>
      </c>
      <c r="AG10" s="115" t="s">
        <v>6</v>
      </c>
      <c r="AH10" s="116" t="s">
        <v>436</v>
      </c>
      <c r="AI10" s="41" t="s">
        <v>87</v>
      </c>
      <c r="AJ10" s="42"/>
    </row>
    <row r="11" spans="2:41" ht="81" customHeight="1" x14ac:dyDescent="0.2">
      <c r="B11" s="41" t="s">
        <v>9</v>
      </c>
      <c r="C11" s="42"/>
      <c r="D11" s="115" t="s">
        <v>5</v>
      </c>
      <c r="E11" s="115" t="s">
        <v>4</v>
      </c>
      <c r="F11" s="115" t="s">
        <v>547</v>
      </c>
      <c r="G11" s="115" t="s">
        <v>4</v>
      </c>
      <c r="H11" s="115" t="s">
        <v>5</v>
      </c>
      <c r="I11" s="152" t="s">
        <v>4</v>
      </c>
      <c r="J11" s="115" t="s">
        <v>548</v>
      </c>
      <c r="K11" s="115" t="s">
        <v>4</v>
      </c>
      <c r="L11" s="152" t="s">
        <v>4</v>
      </c>
      <c r="M11" s="152" t="s">
        <v>4</v>
      </c>
      <c r="N11" s="115" t="s">
        <v>5</v>
      </c>
      <c r="O11" s="115" t="s">
        <v>5</v>
      </c>
      <c r="P11" s="115" t="s">
        <v>4</v>
      </c>
      <c r="Q11" s="115" t="s">
        <v>4</v>
      </c>
      <c r="R11" s="115" t="s">
        <v>5</v>
      </c>
      <c r="S11" s="115" t="s">
        <v>4</v>
      </c>
      <c r="T11" s="152" t="s">
        <v>4</v>
      </c>
      <c r="U11" s="115" t="s">
        <v>549</v>
      </c>
      <c r="V11" s="115" t="s">
        <v>339</v>
      </c>
      <c r="W11" s="32" t="s">
        <v>7</v>
      </c>
      <c r="X11" s="115" t="s">
        <v>8</v>
      </c>
      <c r="Y11" s="115" t="s">
        <v>8</v>
      </c>
      <c r="Z11" s="115" t="s">
        <v>5</v>
      </c>
      <c r="AA11" s="149" t="s">
        <v>492</v>
      </c>
      <c r="AB11" s="149" t="s">
        <v>492</v>
      </c>
      <c r="AC11" s="115" t="s">
        <v>339</v>
      </c>
      <c r="AD11" s="115" t="s">
        <v>7</v>
      </c>
      <c r="AE11" s="115" t="s">
        <v>5</v>
      </c>
      <c r="AF11" s="115" t="s">
        <v>6</v>
      </c>
      <c r="AG11" s="115" t="s">
        <v>7</v>
      </c>
      <c r="AH11" s="115" t="s">
        <v>8</v>
      </c>
      <c r="AI11" s="41" t="s">
        <v>9</v>
      </c>
      <c r="AJ11" s="42"/>
    </row>
    <row r="12" spans="2:41" ht="59" customHeight="1" x14ac:dyDescent="0.3">
      <c r="B12" s="41" t="s">
        <v>88</v>
      </c>
      <c r="C12" s="42"/>
      <c r="D12" s="152" t="s">
        <v>4</v>
      </c>
      <c r="E12" s="115" t="s">
        <v>8</v>
      </c>
      <c r="F12" s="115" t="s">
        <v>8</v>
      </c>
      <c r="G12" s="115" t="s">
        <v>339</v>
      </c>
      <c r="H12" s="115" t="s" ph="1">
        <v>7</v>
      </c>
      <c r="I12" s="115" t="s">
        <v>8</v>
      </c>
      <c r="J12" s="152" t="s">
        <v>8</v>
      </c>
      <c r="K12" s="115" t="s">
        <v>5</v>
      </c>
      <c r="L12" s="115" t="s">
        <v>8</v>
      </c>
      <c r="M12" s="115" t="s">
        <v>5</v>
      </c>
      <c r="N12" s="115" t="s">
        <v>339</v>
      </c>
      <c r="O12" s="115" t="s">
        <v>7</v>
      </c>
      <c r="P12" s="115" t="s">
        <v>8</v>
      </c>
      <c r="Q12" s="115" t="s">
        <v>339</v>
      </c>
      <c r="R12" s="32" t="s">
        <v>7</v>
      </c>
      <c r="S12" s="115" t="s">
        <v>8</v>
      </c>
      <c r="T12" s="115" t="s">
        <v>5</v>
      </c>
      <c r="U12" s="115" t="s">
        <v>339</v>
      </c>
      <c r="V12" s="115" t="s">
        <v>7</v>
      </c>
      <c r="W12" s="115" t="s">
        <v>5</v>
      </c>
      <c r="X12" s="115" t="s">
        <v>5</v>
      </c>
      <c r="Y12" s="115" t="s">
        <v>4</v>
      </c>
      <c r="Z12" s="115" t="s">
        <v>4</v>
      </c>
      <c r="AA12" s="115" t="s">
        <v>5</v>
      </c>
      <c r="AB12" s="115" t="s">
        <v>339</v>
      </c>
      <c r="AC12" s="115" t="s">
        <v>7</v>
      </c>
      <c r="AD12" s="115" t="s">
        <v>5</v>
      </c>
      <c r="AE12" s="152" t="s">
        <v>4</v>
      </c>
      <c r="AF12" s="115" t="s">
        <v>4</v>
      </c>
      <c r="AG12" s="115" t="s">
        <v>4</v>
      </c>
      <c r="AH12" s="152" t="s">
        <v>4</v>
      </c>
      <c r="AI12" s="41" t="s">
        <v>88</v>
      </c>
      <c r="AJ12" s="42"/>
    </row>
    <row r="13" spans="2:41" ht="87" customHeight="1" x14ac:dyDescent="0.2">
      <c r="B13" s="41" t="s">
        <v>89</v>
      </c>
      <c r="C13" s="42"/>
      <c r="D13" s="115" t="s">
        <v>7</v>
      </c>
      <c r="E13" s="115" t="s">
        <v>5</v>
      </c>
      <c r="F13" s="115" t="s">
        <v>5</v>
      </c>
      <c r="G13" s="115" t="s">
        <v>5</v>
      </c>
      <c r="H13" s="115" t="s">
        <v>550</v>
      </c>
      <c r="I13" s="115" t="s">
        <v>10</v>
      </c>
      <c r="J13" s="115" t="s">
        <v>7</v>
      </c>
      <c r="K13" s="115" t="s">
        <v>356</v>
      </c>
      <c r="L13" s="115" t="s">
        <v>7</v>
      </c>
      <c r="M13" s="115" t="s">
        <v>8</v>
      </c>
      <c r="N13" s="115" t="s">
        <v>10</v>
      </c>
      <c r="O13" s="115" t="s">
        <v>7</v>
      </c>
      <c r="P13" s="115" t="s">
        <v>5</v>
      </c>
      <c r="Q13" s="152" t="s">
        <v>499</v>
      </c>
      <c r="R13" s="115" t="s">
        <v>4</v>
      </c>
      <c r="S13" s="115" t="s">
        <v>5</v>
      </c>
      <c r="T13" s="115" t="s">
        <v>6</v>
      </c>
      <c r="U13" s="115" t="s">
        <v>7</v>
      </c>
      <c r="V13" s="115" t="s">
        <v>5</v>
      </c>
      <c r="W13" s="115" t="s">
        <v>6</v>
      </c>
      <c r="X13" s="115" t="s">
        <v>7</v>
      </c>
      <c r="Y13" s="115" t="s">
        <v>6</v>
      </c>
      <c r="Z13" s="115" t="s">
        <v>7</v>
      </c>
      <c r="AA13" s="115" t="s">
        <v>8</v>
      </c>
      <c r="AB13" s="152" t="s">
        <v>8</v>
      </c>
      <c r="AC13" s="115" t="s">
        <v>4</v>
      </c>
      <c r="AD13" s="152" t="s">
        <v>8</v>
      </c>
      <c r="AE13" s="115" t="s">
        <v>6</v>
      </c>
      <c r="AF13" s="115" t="s">
        <v>7</v>
      </c>
      <c r="AG13" s="115" t="s">
        <v>551</v>
      </c>
      <c r="AH13" s="115" t="s">
        <v>5</v>
      </c>
      <c r="AI13" s="41" t="s">
        <v>89</v>
      </c>
      <c r="AJ13" s="42"/>
    </row>
    <row r="14" spans="2:41" ht="84" customHeight="1" x14ac:dyDescent="0.2">
      <c r="B14" s="41" t="s">
        <v>90</v>
      </c>
      <c r="C14" s="42"/>
      <c r="D14" s="115" t="s">
        <v>10</v>
      </c>
      <c r="E14" s="115" t="s">
        <v>347</v>
      </c>
      <c r="F14" s="115" t="s">
        <v>4</v>
      </c>
      <c r="G14" s="115" t="s">
        <v>5</v>
      </c>
      <c r="H14" s="115" t="s">
        <v>10</v>
      </c>
      <c r="I14" s="115" t="s">
        <v>7</v>
      </c>
      <c r="J14" s="32" t="s">
        <v>340</v>
      </c>
      <c r="K14" s="32" t="s">
        <v>5</v>
      </c>
      <c r="L14" s="115" t="s">
        <v>4</v>
      </c>
      <c r="M14" s="115" t="s">
        <v>4</v>
      </c>
      <c r="N14" s="115" t="s">
        <v>4</v>
      </c>
      <c r="O14" s="115" t="s">
        <v>357</v>
      </c>
      <c r="P14" s="115" t="s">
        <v>7</v>
      </c>
      <c r="Q14" s="115" t="s">
        <v>5</v>
      </c>
      <c r="R14" s="115" t="s">
        <v>5</v>
      </c>
      <c r="S14" s="115" t="s">
        <v>5</v>
      </c>
      <c r="T14" s="116" t="s">
        <v>495</v>
      </c>
      <c r="U14" s="115" t="s">
        <v>7</v>
      </c>
      <c r="V14" s="115" t="s">
        <v>4</v>
      </c>
      <c r="W14" s="152" t="s">
        <v>4</v>
      </c>
      <c r="X14" s="115" t="s">
        <v>10</v>
      </c>
      <c r="Y14" s="115" t="s">
        <v>7</v>
      </c>
      <c r="Z14" s="152" t="s">
        <v>4</v>
      </c>
      <c r="AA14" s="152" t="s">
        <v>4</v>
      </c>
      <c r="AB14" s="115" t="s">
        <v>4</v>
      </c>
      <c r="AC14" s="115" t="s">
        <v>5</v>
      </c>
      <c r="AD14" s="115" t="s">
        <v>10</v>
      </c>
      <c r="AE14" s="115" t="s">
        <v>7</v>
      </c>
      <c r="AF14" s="115" t="s">
        <v>5</v>
      </c>
      <c r="AG14" s="115" t="s">
        <v>5</v>
      </c>
      <c r="AH14" s="115" t="s">
        <v>500</v>
      </c>
      <c r="AI14" s="41" t="s">
        <v>90</v>
      </c>
      <c r="AJ14" s="42"/>
    </row>
    <row r="15" spans="2:41" ht="59" customHeight="1" x14ac:dyDescent="0.2">
      <c r="B15" s="41" t="s">
        <v>91</v>
      </c>
      <c r="C15" s="42"/>
      <c r="D15" s="115" t="s">
        <v>7</v>
      </c>
      <c r="E15" s="115" t="s">
        <v>4</v>
      </c>
      <c r="F15" s="115" t="s">
        <v>5</v>
      </c>
      <c r="G15" s="115" t="s">
        <v>10</v>
      </c>
      <c r="H15" s="115" t="s">
        <v>7</v>
      </c>
      <c r="I15" s="152" t="s">
        <v>4</v>
      </c>
      <c r="J15" s="115" t="s">
        <v>10</v>
      </c>
      <c r="K15" s="115" t="s">
        <v>7</v>
      </c>
      <c r="L15" s="115" t="s">
        <v>5</v>
      </c>
      <c r="M15" s="115" t="s">
        <v>10</v>
      </c>
      <c r="N15" s="115" t="s">
        <v>7</v>
      </c>
      <c r="O15" s="115" t="s">
        <v>5</v>
      </c>
      <c r="P15" s="152" t="s">
        <v>4</v>
      </c>
      <c r="Q15" s="115" t="s">
        <v>4</v>
      </c>
      <c r="R15" s="115" t="s">
        <v>10</v>
      </c>
      <c r="S15" s="115" t="s">
        <v>7</v>
      </c>
      <c r="T15" s="115" t="s">
        <v>10</v>
      </c>
      <c r="U15" s="115" t="s">
        <v>7</v>
      </c>
      <c r="V15" s="115" t="s">
        <v>5</v>
      </c>
      <c r="W15" s="115" t="s">
        <v>5</v>
      </c>
      <c r="X15" s="152" t="s">
        <v>4</v>
      </c>
      <c r="Y15" s="115" t="s">
        <v>4</v>
      </c>
      <c r="Z15" s="115" t="s">
        <v>5</v>
      </c>
      <c r="AA15" s="115" t="s">
        <v>5</v>
      </c>
      <c r="AB15" s="115" t="s">
        <v>5</v>
      </c>
      <c r="AC15" s="115" t="s">
        <v>4</v>
      </c>
      <c r="AD15" s="115" t="s">
        <v>4</v>
      </c>
      <c r="AE15" s="115" t="s">
        <v>4</v>
      </c>
      <c r="AF15" s="115" t="s">
        <v>357</v>
      </c>
      <c r="AG15" s="115" t="s">
        <v>7</v>
      </c>
      <c r="AH15" s="115" t="s">
        <v>4</v>
      </c>
      <c r="AI15" s="41" t="s">
        <v>91</v>
      </c>
      <c r="AJ15" s="42"/>
    </row>
    <row r="16" spans="2:41" ht="59" customHeight="1" x14ac:dyDescent="0.2">
      <c r="B16" s="41" t="s">
        <v>92</v>
      </c>
      <c r="C16" s="42"/>
      <c r="D16" s="115" t="s">
        <v>4</v>
      </c>
      <c r="E16" s="115" t="s">
        <v>5</v>
      </c>
      <c r="F16" s="115" t="s">
        <v>10</v>
      </c>
      <c r="G16" s="115" t="s">
        <v>7</v>
      </c>
      <c r="H16" s="115" t="s">
        <v>5</v>
      </c>
      <c r="I16" s="115" t="s">
        <v>5</v>
      </c>
      <c r="J16" s="115" t="s">
        <v>4</v>
      </c>
      <c r="K16" s="152" t="s">
        <v>4</v>
      </c>
      <c r="L16" s="115" t="s">
        <v>10</v>
      </c>
      <c r="M16" s="115" t="s">
        <v>7</v>
      </c>
      <c r="N16" s="115" t="s">
        <v>5</v>
      </c>
      <c r="O16" s="115" t="s">
        <v>5</v>
      </c>
      <c r="P16" s="115" t="s">
        <v>5</v>
      </c>
      <c r="Q16" s="115" t="s">
        <v>10</v>
      </c>
      <c r="R16" s="115" t="s">
        <v>7</v>
      </c>
      <c r="S16" s="152" t="s">
        <v>4</v>
      </c>
      <c r="T16" s="115" t="s">
        <v>4</v>
      </c>
      <c r="U16" s="115" t="s">
        <v>10</v>
      </c>
      <c r="V16" s="115" t="s">
        <v>7</v>
      </c>
      <c r="W16" s="115" t="s">
        <v>4</v>
      </c>
      <c r="X16" s="115" t="s">
        <v>5</v>
      </c>
      <c r="Y16" s="115" t="s">
        <v>5</v>
      </c>
      <c r="Z16" s="32" t="s">
        <v>10</v>
      </c>
      <c r="AA16" s="115" t="s">
        <v>7</v>
      </c>
      <c r="AB16" s="115" t="s">
        <v>10</v>
      </c>
      <c r="AC16" s="115" t="s">
        <v>7</v>
      </c>
      <c r="AD16" s="152" t="s">
        <v>4</v>
      </c>
      <c r="AE16" s="115" t="s">
        <v>10</v>
      </c>
      <c r="AF16" s="115" t="s">
        <v>7</v>
      </c>
      <c r="AG16" s="115" t="s">
        <v>357</v>
      </c>
      <c r="AH16" s="115" t="s">
        <v>7</v>
      </c>
      <c r="AI16" s="41" t="s">
        <v>92</v>
      </c>
      <c r="AJ16" s="42"/>
    </row>
    <row r="17" spans="2:36" ht="60" customHeight="1" x14ac:dyDescent="0.2">
      <c r="B17" s="41" t="s">
        <v>11</v>
      </c>
      <c r="C17" s="42"/>
      <c r="D17" s="115" t="s">
        <v>5</v>
      </c>
      <c r="E17" s="115" t="s">
        <v>10</v>
      </c>
      <c r="F17" s="115" t="s">
        <v>7</v>
      </c>
      <c r="G17" s="152" t="s">
        <v>4</v>
      </c>
      <c r="H17" s="115" t="s">
        <v>4</v>
      </c>
      <c r="I17" s="115" t="s">
        <v>5</v>
      </c>
      <c r="J17" s="115" t="s">
        <v>5</v>
      </c>
      <c r="K17" s="115" t="s">
        <v>10</v>
      </c>
      <c r="L17" s="115" t="s">
        <v>7</v>
      </c>
      <c r="M17" s="115" t="s">
        <v>5</v>
      </c>
      <c r="N17" s="152" t="s">
        <v>4</v>
      </c>
      <c r="O17" s="115" t="s">
        <v>4</v>
      </c>
      <c r="P17" s="32" t="s">
        <v>10</v>
      </c>
      <c r="Q17" s="115" t="s">
        <v>7</v>
      </c>
      <c r="R17" s="152" t="s">
        <v>4</v>
      </c>
      <c r="S17" s="115" t="s">
        <v>10</v>
      </c>
      <c r="T17" s="115" t="s">
        <v>7</v>
      </c>
      <c r="U17" s="115" t="s">
        <v>4</v>
      </c>
      <c r="V17" s="115" t="s">
        <v>4</v>
      </c>
      <c r="W17" s="115" t="s">
        <v>5</v>
      </c>
      <c r="X17" s="152" t="s">
        <v>4</v>
      </c>
      <c r="Y17" s="115" t="s">
        <v>10</v>
      </c>
      <c r="Z17" s="115" t="s">
        <v>7</v>
      </c>
      <c r="AA17" s="115" t="s">
        <v>4</v>
      </c>
      <c r="AB17" s="115" t="s">
        <v>4</v>
      </c>
      <c r="AC17" s="115" t="s">
        <v>10</v>
      </c>
      <c r="AD17" s="115" t="s">
        <v>7</v>
      </c>
      <c r="AE17" s="115" t="s">
        <v>5</v>
      </c>
      <c r="AF17" s="115" t="s">
        <v>5</v>
      </c>
      <c r="AG17" s="149" t="s">
        <v>492</v>
      </c>
      <c r="AH17" s="149" t="s">
        <v>492</v>
      </c>
      <c r="AI17" s="41" t="s">
        <v>11</v>
      </c>
      <c r="AJ17" s="42"/>
    </row>
    <row r="18" spans="2:36" ht="68" customHeight="1" x14ac:dyDescent="0.3">
      <c r="B18" s="41" t="s">
        <v>93</v>
      </c>
      <c r="C18" s="42"/>
      <c r="D18" s="153"/>
      <c r="E18" s="153"/>
      <c r="F18" s="115"/>
      <c r="G18" s="115"/>
      <c r="H18" s="153"/>
      <c r="I18" s="153"/>
      <c r="J18" s="115"/>
      <c r="K18" s="115"/>
      <c r="L18" s="153"/>
      <c r="M18" s="153"/>
      <c r="N18" s="153"/>
      <c r="O18" s="153"/>
      <c r="P18" s="154"/>
      <c r="Q18" s="153"/>
      <c r="R18" s="153"/>
      <c r="S18" s="153"/>
      <c r="T18" s="153"/>
      <c r="U18" s="153"/>
      <c r="V18" s="115" t="s">
        <v>552</v>
      </c>
      <c r="W18" s="115" t="s">
        <v>553</v>
      </c>
      <c r="X18" s="115" t="s">
        <v>7</v>
      </c>
      <c r="Y18" s="153"/>
      <c r="Z18" s="115"/>
      <c r="AA18" s="115" t="s">
        <v>554</v>
      </c>
      <c r="AB18" s="115" t="s">
        <v>7</v>
      </c>
      <c r="AC18" s="115"/>
      <c r="AD18" s="153"/>
      <c r="AE18" s="153"/>
      <c r="AF18" s="153"/>
      <c r="AG18" s="153"/>
      <c r="AH18" s="153"/>
      <c r="AI18" s="41" t="s">
        <v>93</v>
      </c>
      <c r="AJ18" s="42"/>
    </row>
    <row r="19" spans="2:36" ht="60" customHeight="1" thickBot="1" x14ac:dyDescent="0.25">
      <c r="B19" s="41" t="s">
        <v>501</v>
      </c>
      <c r="C19" s="42"/>
      <c r="D19" s="36" t="s">
        <v>366</v>
      </c>
      <c r="E19" s="107" t="s">
        <v>366</v>
      </c>
      <c r="F19" s="107" t="s">
        <v>368</v>
      </c>
      <c r="G19" s="107" t="s">
        <v>502</v>
      </c>
      <c r="H19" s="107" t="s">
        <v>502</v>
      </c>
      <c r="I19" s="107" t="s">
        <v>502</v>
      </c>
      <c r="J19" s="36" t="s">
        <v>4</v>
      </c>
      <c r="K19" s="36" t="s">
        <v>366</v>
      </c>
      <c r="L19" s="107" t="s">
        <v>366</v>
      </c>
      <c r="M19" s="107" t="s">
        <v>4</v>
      </c>
      <c r="N19" s="36" t="s">
        <v>452</v>
      </c>
      <c r="O19" s="36" t="s">
        <v>451</v>
      </c>
      <c r="P19" s="36" t="s">
        <v>451</v>
      </c>
      <c r="Q19" s="108" t="s">
        <v>451</v>
      </c>
      <c r="R19" s="36" t="s">
        <v>366</v>
      </c>
      <c r="S19" s="107" t="s">
        <v>366</v>
      </c>
      <c r="T19" s="107" t="s">
        <v>451</v>
      </c>
      <c r="U19" s="36" t="s">
        <v>451</v>
      </c>
      <c r="V19" s="36" t="s">
        <v>4</v>
      </c>
      <c r="W19" s="36" t="s">
        <v>4</v>
      </c>
      <c r="X19" s="36" t="s">
        <v>4</v>
      </c>
      <c r="Y19" s="36" t="s">
        <v>503</v>
      </c>
      <c r="Z19" s="107" t="s">
        <v>366</v>
      </c>
      <c r="AA19" s="107" t="s">
        <v>365</v>
      </c>
      <c r="AB19" s="107" t="s">
        <v>4</v>
      </c>
      <c r="AC19" s="36" t="s">
        <v>4</v>
      </c>
      <c r="AD19" s="36" t="s">
        <v>4</v>
      </c>
      <c r="AE19" s="36" t="s">
        <v>368</v>
      </c>
      <c r="AF19" s="36" t="s">
        <v>366</v>
      </c>
      <c r="AG19" s="107" t="s">
        <v>366</v>
      </c>
      <c r="AH19" s="155" t="s">
        <v>555</v>
      </c>
      <c r="AI19" s="41" t="s">
        <v>501</v>
      </c>
      <c r="AJ19" s="42"/>
    </row>
    <row r="20" spans="2:36" ht="18.5" x14ac:dyDescent="0.2">
      <c r="B20" s="230" t="s">
        <v>77</v>
      </c>
      <c r="C20" s="233" t="s">
        <v>78</v>
      </c>
      <c r="D20" s="52" t="s">
        <v>111</v>
      </c>
      <c r="E20" s="54" t="s">
        <v>183</v>
      </c>
      <c r="F20" s="54"/>
      <c r="G20" s="54"/>
      <c r="H20" s="54"/>
      <c r="I20" s="54"/>
      <c r="J20" s="52"/>
      <c r="K20" s="54" t="s">
        <v>121</v>
      </c>
      <c r="L20" s="54" t="s">
        <v>158</v>
      </c>
      <c r="M20" s="54"/>
      <c r="N20" s="53" t="s">
        <v>142</v>
      </c>
      <c r="O20" s="52"/>
      <c r="P20" s="52"/>
      <c r="Q20" s="54"/>
      <c r="R20" s="54" t="s">
        <v>121</v>
      </c>
      <c r="S20" s="52" t="s">
        <v>170</v>
      </c>
      <c r="T20" s="54"/>
      <c r="U20" s="52"/>
      <c r="V20" s="54"/>
      <c r="W20" s="54"/>
      <c r="X20" s="54"/>
      <c r="Y20" s="52" t="s">
        <v>130</v>
      </c>
      <c r="Z20" s="54" t="s">
        <v>158</v>
      </c>
      <c r="AA20" s="54"/>
      <c r="AB20" s="54"/>
      <c r="AC20" s="52"/>
      <c r="AD20" s="52"/>
      <c r="AE20" s="52"/>
      <c r="AF20" s="54" t="s">
        <v>183</v>
      </c>
      <c r="AG20" s="53" t="s">
        <v>142</v>
      </c>
      <c r="AH20" s="54"/>
      <c r="AI20" s="235" t="s">
        <v>78</v>
      </c>
      <c r="AJ20" s="237" t="s">
        <v>77</v>
      </c>
    </row>
    <row r="21" spans="2:36" ht="18.5" x14ac:dyDescent="0.2">
      <c r="B21" s="231"/>
      <c r="C21" s="234"/>
      <c r="D21" s="55" t="s">
        <v>1</v>
      </c>
      <c r="E21" s="57" t="s">
        <v>1</v>
      </c>
      <c r="F21" s="57" t="s">
        <v>1</v>
      </c>
      <c r="G21" s="57" t="s">
        <v>1</v>
      </c>
      <c r="H21" s="57" t="s">
        <v>1</v>
      </c>
      <c r="I21" s="57" t="s">
        <v>1</v>
      </c>
      <c r="J21" s="55" t="s">
        <v>1</v>
      </c>
      <c r="K21" s="55" t="s">
        <v>1</v>
      </c>
      <c r="L21" s="57" t="s">
        <v>1</v>
      </c>
      <c r="M21" s="57" t="s">
        <v>1</v>
      </c>
      <c r="N21" s="56" t="s">
        <v>1</v>
      </c>
      <c r="O21" s="55" t="s">
        <v>1</v>
      </c>
      <c r="P21" s="55" t="s">
        <v>1</v>
      </c>
      <c r="Q21" s="55" t="s">
        <v>1</v>
      </c>
      <c r="R21" s="57" t="s">
        <v>1</v>
      </c>
      <c r="S21" s="57" t="s">
        <v>1</v>
      </c>
      <c r="T21" s="57" t="s">
        <v>1</v>
      </c>
      <c r="U21" s="57" t="s">
        <v>1</v>
      </c>
      <c r="V21" s="57" t="s">
        <v>1</v>
      </c>
      <c r="W21" s="57" t="s">
        <v>1</v>
      </c>
      <c r="X21" s="57" t="s">
        <v>1</v>
      </c>
      <c r="Y21" s="57" t="s">
        <v>1</v>
      </c>
      <c r="Z21" s="57" t="s">
        <v>1</v>
      </c>
      <c r="AA21" s="57" t="s">
        <v>1</v>
      </c>
      <c r="AB21" s="57" t="s">
        <v>1</v>
      </c>
      <c r="AC21" s="57" t="s">
        <v>1</v>
      </c>
      <c r="AD21" s="57" t="s">
        <v>1</v>
      </c>
      <c r="AE21" s="57" t="s">
        <v>1</v>
      </c>
      <c r="AF21" s="57" t="s">
        <v>1</v>
      </c>
      <c r="AG21" s="57" t="s">
        <v>1</v>
      </c>
      <c r="AH21" s="57"/>
      <c r="AI21" s="236"/>
      <c r="AJ21" s="238"/>
    </row>
    <row r="22" spans="2:36" ht="18.5" x14ac:dyDescent="0.2">
      <c r="B22" s="231"/>
      <c r="C22" s="240" t="s">
        <v>79</v>
      </c>
      <c r="D22" s="58" t="s">
        <v>111</v>
      </c>
      <c r="E22" s="109" t="s">
        <v>183</v>
      </c>
      <c r="F22" s="109" t="s">
        <v>121</v>
      </c>
      <c r="G22" s="109" t="s">
        <v>158</v>
      </c>
      <c r="H22" s="109" t="s">
        <v>142</v>
      </c>
      <c r="I22" s="109" t="s">
        <v>468</v>
      </c>
      <c r="J22" s="58" t="s">
        <v>111</v>
      </c>
      <c r="K22" s="58" t="s">
        <v>121</v>
      </c>
      <c r="L22" s="109" t="s">
        <v>158</v>
      </c>
      <c r="M22" s="109" t="s">
        <v>170</v>
      </c>
      <c r="N22" s="109" t="s">
        <v>142</v>
      </c>
      <c r="O22" s="58" t="s">
        <v>183</v>
      </c>
      <c r="P22" s="58" t="s">
        <v>461</v>
      </c>
      <c r="Q22" s="58" t="s">
        <v>142</v>
      </c>
      <c r="R22" s="109" t="s">
        <v>121</v>
      </c>
      <c r="S22" s="109" t="s">
        <v>170</v>
      </c>
      <c r="T22" s="109" t="s">
        <v>158</v>
      </c>
      <c r="U22" s="109" t="s">
        <v>121</v>
      </c>
      <c r="V22" s="109" t="s">
        <v>142</v>
      </c>
      <c r="W22" s="109" t="s">
        <v>461</v>
      </c>
      <c r="X22" s="109" t="s">
        <v>170</v>
      </c>
      <c r="Y22" s="109" t="s">
        <v>130</v>
      </c>
      <c r="Z22" s="109" t="s">
        <v>158</v>
      </c>
      <c r="AA22" s="109" t="s">
        <v>183</v>
      </c>
      <c r="AB22" s="109" t="s">
        <v>111</v>
      </c>
      <c r="AC22" s="109" t="s">
        <v>170</v>
      </c>
      <c r="AD22" s="109" t="s">
        <v>468</v>
      </c>
      <c r="AE22" s="109" t="s">
        <v>111</v>
      </c>
      <c r="AF22" s="109" t="s">
        <v>183</v>
      </c>
      <c r="AG22" s="109" t="s">
        <v>142</v>
      </c>
      <c r="AH22" s="109" t="s">
        <v>158</v>
      </c>
      <c r="AI22" s="242" t="s">
        <v>79</v>
      </c>
      <c r="AJ22" s="238"/>
    </row>
    <row r="23" spans="2:36" ht="19" thickBot="1" x14ac:dyDescent="0.25">
      <c r="B23" s="232"/>
      <c r="C23" s="241"/>
      <c r="D23" s="59" t="s">
        <v>1</v>
      </c>
      <c r="E23" s="110" t="s">
        <v>1</v>
      </c>
      <c r="F23" s="110" t="s">
        <v>1</v>
      </c>
      <c r="G23" s="110" t="s">
        <v>1</v>
      </c>
      <c r="H23" s="110" t="s">
        <v>1</v>
      </c>
      <c r="I23" s="110" t="s">
        <v>1</v>
      </c>
      <c r="J23" s="59" t="s">
        <v>1</v>
      </c>
      <c r="K23" s="59" t="s">
        <v>1</v>
      </c>
      <c r="L23" s="110" t="s">
        <v>1</v>
      </c>
      <c r="M23" s="110" t="s">
        <v>1</v>
      </c>
      <c r="N23" s="110" t="s">
        <v>1</v>
      </c>
      <c r="O23" s="59" t="s">
        <v>1</v>
      </c>
      <c r="P23" s="59" t="s">
        <v>1</v>
      </c>
      <c r="Q23" s="59" t="s">
        <v>1</v>
      </c>
      <c r="R23" s="110" t="s">
        <v>1</v>
      </c>
      <c r="S23" s="110" t="s">
        <v>1</v>
      </c>
      <c r="T23" s="110" t="s">
        <v>1</v>
      </c>
      <c r="U23" s="110" t="s">
        <v>1</v>
      </c>
      <c r="V23" s="110" t="s">
        <v>1</v>
      </c>
      <c r="W23" s="110" t="s">
        <v>1</v>
      </c>
      <c r="X23" s="110" t="s">
        <v>1</v>
      </c>
      <c r="Y23" s="110" t="s">
        <v>1</v>
      </c>
      <c r="Z23" s="110" t="s">
        <v>1</v>
      </c>
      <c r="AA23" s="110" t="s">
        <v>1</v>
      </c>
      <c r="AB23" s="110" t="s">
        <v>1</v>
      </c>
      <c r="AC23" s="110" t="s">
        <v>1</v>
      </c>
      <c r="AD23" s="110" t="s">
        <v>1</v>
      </c>
      <c r="AE23" s="110" t="s">
        <v>1</v>
      </c>
      <c r="AF23" s="110" t="s">
        <v>1</v>
      </c>
      <c r="AG23" s="110" t="s">
        <v>1</v>
      </c>
      <c r="AH23" s="110"/>
      <c r="AI23" s="243"/>
      <c r="AJ23" s="239"/>
    </row>
    <row r="24" spans="2:36" ht="18.5" x14ac:dyDescent="0.2">
      <c r="B24" s="230" t="s">
        <v>80</v>
      </c>
      <c r="C24" s="233" t="s">
        <v>78</v>
      </c>
      <c r="D24" s="60" t="s">
        <v>17</v>
      </c>
      <c r="E24" s="54" t="s">
        <v>15</v>
      </c>
      <c r="F24" s="54"/>
      <c r="G24" s="54"/>
      <c r="H24" s="54"/>
      <c r="I24" s="54"/>
      <c r="J24" s="52"/>
      <c r="K24" s="54" t="s">
        <v>18</v>
      </c>
      <c r="L24" s="54" t="s">
        <v>17</v>
      </c>
      <c r="M24" s="54"/>
      <c r="N24" s="53" t="s">
        <v>15</v>
      </c>
      <c r="O24" s="52"/>
      <c r="P24" s="52"/>
      <c r="Q24" s="54"/>
      <c r="R24" s="54" t="s">
        <v>16</v>
      </c>
      <c r="S24" s="52" t="s">
        <v>17</v>
      </c>
      <c r="T24" s="54"/>
      <c r="U24" s="52"/>
      <c r="V24" s="54"/>
      <c r="W24" s="54"/>
      <c r="X24" s="54"/>
      <c r="Y24" s="52" t="s">
        <v>16</v>
      </c>
      <c r="Z24" s="54" t="s">
        <v>15</v>
      </c>
      <c r="AA24" s="54"/>
      <c r="AB24" s="54"/>
      <c r="AC24" s="52"/>
      <c r="AD24" s="52"/>
      <c r="AE24" s="52"/>
      <c r="AF24" s="54" t="s">
        <v>15</v>
      </c>
      <c r="AG24" s="53" t="s">
        <v>18</v>
      </c>
      <c r="AH24" s="54"/>
      <c r="AI24" s="235" t="s">
        <v>78</v>
      </c>
      <c r="AJ24" s="237" t="s">
        <v>80</v>
      </c>
    </row>
    <row r="25" spans="2:36" ht="18.5" x14ac:dyDescent="0.2">
      <c r="B25" s="231"/>
      <c r="C25" s="234"/>
      <c r="D25" s="55"/>
      <c r="E25" s="57"/>
      <c r="F25" s="57"/>
      <c r="G25" s="57"/>
      <c r="H25" s="57"/>
      <c r="I25" s="57"/>
      <c r="J25" s="55"/>
      <c r="K25" s="55"/>
      <c r="L25" s="57"/>
      <c r="M25" s="57"/>
      <c r="N25" s="56" t="s">
        <v>18</v>
      </c>
      <c r="O25" s="55"/>
      <c r="P25" s="55"/>
      <c r="Q25" s="55"/>
      <c r="R25" s="57"/>
      <c r="S25" s="57"/>
      <c r="T25" s="57"/>
      <c r="U25" s="55"/>
      <c r="V25" s="57"/>
      <c r="W25" s="57"/>
      <c r="X25" s="57"/>
      <c r="Y25" s="57"/>
      <c r="Z25" s="57"/>
      <c r="AA25" s="57"/>
      <c r="AB25" s="57"/>
      <c r="AC25" s="55"/>
      <c r="AD25" s="57"/>
      <c r="AE25" s="57"/>
      <c r="AF25" s="57"/>
      <c r="AG25" s="57"/>
      <c r="AH25" s="57"/>
      <c r="AI25" s="236"/>
      <c r="AJ25" s="238"/>
    </row>
    <row r="26" spans="2:36" ht="18.5" x14ac:dyDescent="0.2">
      <c r="B26" s="231"/>
      <c r="C26" s="240" t="s">
        <v>79</v>
      </c>
      <c r="D26" s="60" t="s">
        <v>17</v>
      </c>
      <c r="E26" s="62" t="s">
        <v>19</v>
      </c>
      <c r="F26" s="62" t="s">
        <v>17</v>
      </c>
      <c r="G26" s="62" t="s">
        <v>18</v>
      </c>
      <c r="H26" s="62" t="s">
        <v>15</v>
      </c>
      <c r="I26" s="62" t="s">
        <v>18</v>
      </c>
      <c r="J26" s="60" t="s">
        <v>16</v>
      </c>
      <c r="K26" s="60" t="s">
        <v>18</v>
      </c>
      <c r="L26" s="62" t="s">
        <v>19</v>
      </c>
      <c r="M26" s="62" t="s">
        <v>18</v>
      </c>
      <c r="N26" s="62" t="s">
        <v>19</v>
      </c>
      <c r="O26" s="60" t="s">
        <v>17</v>
      </c>
      <c r="P26" s="60" t="s">
        <v>15</v>
      </c>
      <c r="Q26" s="60" t="s">
        <v>17</v>
      </c>
      <c r="R26" s="62" t="s">
        <v>16</v>
      </c>
      <c r="S26" s="62" t="s">
        <v>19</v>
      </c>
      <c r="T26" s="62" t="s">
        <v>17</v>
      </c>
      <c r="U26" s="62" t="s">
        <v>16</v>
      </c>
      <c r="V26" s="62" t="s">
        <v>17</v>
      </c>
      <c r="W26" s="62" t="s">
        <v>18</v>
      </c>
      <c r="X26" s="62" t="s">
        <v>15</v>
      </c>
      <c r="Y26" s="62" t="s">
        <v>16</v>
      </c>
      <c r="Z26" s="62" t="s">
        <v>19</v>
      </c>
      <c r="AA26" s="62" t="s">
        <v>15</v>
      </c>
      <c r="AB26" s="62" t="s">
        <v>16</v>
      </c>
      <c r="AC26" s="62" t="s">
        <v>15</v>
      </c>
      <c r="AD26" s="62" t="s">
        <v>16</v>
      </c>
      <c r="AE26" s="62" t="s">
        <v>18</v>
      </c>
      <c r="AF26" s="62" t="s">
        <v>15</v>
      </c>
      <c r="AG26" s="62" t="s">
        <v>19</v>
      </c>
      <c r="AH26" s="62" t="s">
        <v>16</v>
      </c>
      <c r="AI26" s="242" t="s">
        <v>79</v>
      </c>
      <c r="AJ26" s="238"/>
    </row>
    <row r="27" spans="2:36" ht="19" thickBot="1" x14ac:dyDescent="0.25">
      <c r="B27" s="232"/>
      <c r="C27" s="241"/>
      <c r="D27" s="59"/>
      <c r="E27" s="110"/>
      <c r="F27" s="110"/>
      <c r="G27" s="110" t="s">
        <v>20</v>
      </c>
      <c r="H27" s="110" t="s">
        <v>20</v>
      </c>
      <c r="I27" s="110" t="s">
        <v>20</v>
      </c>
      <c r="J27" s="59"/>
      <c r="K27" s="59"/>
      <c r="L27" s="110"/>
      <c r="M27" s="110"/>
      <c r="N27" s="110"/>
      <c r="O27" s="59" t="s">
        <v>20</v>
      </c>
      <c r="P27" s="59" t="s">
        <v>20</v>
      </c>
      <c r="Q27" s="59"/>
      <c r="R27" s="110"/>
      <c r="S27" s="110"/>
      <c r="T27" s="110"/>
      <c r="U27" s="110" t="s">
        <v>20</v>
      </c>
      <c r="V27" s="110" t="s">
        <v>20</v>
      </c>
      <c r="W27" s="110" t="s">
        <v>20</v>
      </c>
      <c r="X27" s="110"/>
      <c r="Y27" s="110"/>
      <c r="Z27" s="110"/>
      <c r="AA27" s="110"/>
      <c r="AB27" s="110" t="s">
        <v>20</v>
      </c>
      <c r="AC27" s="110" t="s">
        <v>20</v>
      </c>
      <c r="AD27" s="110" t="s">
        <v>20</v>
      </c>
      <c r="AE27" s="110"/>
      <c r="AF27" s="110"/>
      <c r="AG27" s="110"/>
      <c r="AH27" s="110"/>
      <c r="AI27" s="243"/>
      <c r="AJ27" s="239"/>
    </row>
    <row r="28" spans="2:36" ht="23.5" customHeight="1" x14ac:dyDescent="0.2">
      <c r="B28" s="244" t="s">
        <v>81</v>
      </c>
      <c r="C28" s="233" t="s">
        <v>82</v>
      </c>
      <c r="D28" s="62" t="s">
        <v>476</v>
      </c>
      <c r="E28" s="61" t="s">
        <v>475</v>
      </c>
      <c r="F28" s="62"/>
      <c r="G28" s="62"/>
      <c r="H28" s="62"/>
      <c r="I28" s="62"/>
      <c r="J28" s="62"/>
      <c r="K28" s="61" t="s">
        <v>475</v>
      </c>
      <c r="L28" s="61" t="s">
        <v>475</v>
      </c>
      <c r="M28" s="62"/>
      <c r="N28" s="61" t="s">
        <v>475</v>
      </c>
      <c r="O28" s="62"/>
      <c r="P28" s="62"/>
      <c r="Q28" s="62"/>
      <c r="R28" s="54" t="s">
        <v>474</v>
      </c>
      <c r="S28" s="54" t="s">
        <v>475</v>
      </c>
      <c r="T28" s="62"/>
      <c r="U28" s="62"/>
      <c r="V28" s="62"/>
      <c r="W28" s="62"/>
      <c r="X28" s="62"/>
      <c r="Y28" s="54" t="s">
        <v>474</v>
      </c>
      <c r="Z28" s="54" t="s">
        <v>474</v>
      </c>
      <c r="AA28" s="62"/>
      <c r="AB28" s="54"/>
      <c r="AC28" s="54"/>
      <c r="AD28" s="62"/>
      <c r="AE28" s="62"/>
      <c r="AF28" s="54" t="s">
        <v>475</v>
      </c>
      <c r="AG28" s="54" t="s">
        <v>475</v>
      </c>
      <c r="AH28" s="62"/>
      <c r="AI28" s="235" t="s">
        <v>82</v>
      </c>
      <c r="AJ28" s="247" t="s">
        <v>81</v>
      </c>
    </row>
    <row r="29" spans="2:36" ht="23.5" customHeight="1" x14ac:dyDescent="0.2">
      <c r="B29" s="245"/>
      <c r="C29" s="234"/>
      <c r="D29" s="60" t="s">
        <v>543</v>
      </c>
      <c r="E29" s="62" t="s">
        <v>542</v>
      </c>
      <c r="F29" s="62"/>
      <c r="G29" s="62"/>
      <c r="H29" s="62"/>
      <c r="I29" s="62"/>
      <c r="J29" s="62"/>
      <c r="K29" s="62" t="s">
        <v>540</v>
      </c>
      <c r="L29" s="62" t="s">
        <v>541</v>
      </c>
      <c r="M29" s="62"/>
      <c r="N29" s="61" t="s">
        <v>539</v>
      </c>
      <c r="O29" s="62"/>
      <c r="P29" s="62"/>
      <c r="Q29" s="62"/>
      <c r="R29" s="62" t="s">
        <v>537</v>
      </c>
      <c r="S29" s="62" t="s">
        <v>538</v>
      </c>
      <c r="T29" s="62"/>
      <c r="U29" s="62"/>
      <c r="V29" s="62"/>
      <c r="W29" s="62"/>
      <c r="X29" s="62"/>
      <c r="Y29" s="62" t="s">
        <v>535</v>
      </c>
      <c r="Z29" s="62" t="s">
        <v>536</v>
      </c>
      <c r="AA29" s="62"/>
      <c r="AB29" s="62"/>
      <c r="AC29" s="62"/>
      <c r="AD29" s="62"/>
      <c r="AE29" s="62"/>
      <c r="AF29" s="62" t="s">
        <v>533</v>
      </c>
      <c r="AG29" s="61" t="s">
        <v>534</v>
      </c>
      <c r="AH29" s="62"/>
      <c r="AI29" s="236"/>
      <c r="AJ29" s="248"/>
    </row>
    <row r="30" spans="2:36" ht="23.5" customHeight="1" x14ac:dyDescent="0.2">
      <c r="B30" s="245"/>
      <c r="C30" s="250" t="s">
        <v>83</v>
      </c>
      <c r="D30" s="58" t="s">
        <v>33</v>
      </c>
      <c r="E30" s="109" t="s">
        <v>46</v>
      </c>
      <c r="F30" s="109"/>
      <c r="G30" s="109"/>
      <c r="H30" s="109"/>
      <c r="I30" s="109"/>
      <c r="J30" s="58"/>
      <c r="K30" s="109" t="s">
        <v>28</v>
      </c>
      <c r="L30" s="109" t="s">
        <v>53</v>
      </c>
      <c r="M30" s="109"/>
      <c r="N30" s="64" t="s">
        <v>34</v>
      </c>
      <c r="O30" s="58"/>
      <c r="P30" s="58"/>
      <c r="Q30" s="109"/>
      <c r="R30" s="109" t="s">
        <v>31</v>
      </c>
      <c r="S30" s="58" t="s">
        <v>44</v>
      </c>
      <c r="T30" s="109"/>
      <c r="U30" s="58"/>
      <c r="V30" s="109"/>
      <c r="W30" s="109"/>
      <c r="X30" s="109"/>
      <c r="Y30" s="58" t="s">
        <v>31</v>
      </c>
      <c r="Z30" s="109" t="s">
        <v>29</v>
      </c>
      <c r="AA30" s="109"/>
      <c r="AB30" s="109"/>
      <c r="AC30" s="58"/>
      <c r="AD30" s="58"/>
      <c r="AE30" s="58"/>
      <c r="AF30" s="109" t="s">
        <v>29</v>
      </c>
      <c r="AG30" s="64" t="s">
        <v>48</v>
      </c>
      <c r="AH30" s="142"/>
      <c r="AI30" s="252" t="s">
        <v>83</v>
      </c>
      <c r="AJ30" s="248"/>
    </row>
    <row r="31" spans="2:36" ht="23.5" customHeight="1" thickBot="1" x14ac:dyDescent="0.25">
      <c r="B31" s="246"/>
      <c r="C31" s="251"/>
      <c r="D31" s="66" t="s">
        <v>39</v>
      </c>
      <c r="E31" s="111" t="s">
        <v>129</v>
      </c>
      <c r="F31" s="111"/>
      <c r="G31" s="111"/>
      <c r="H31" s="111"/>
      <c r="I31" s="111"/>
      <c r="J31" s="66"/>
      <c r="K31" s="111" t="s">
        <v>36</v>
      </c>
      <c r="L31" s="111" t="s">
        <v>219</v>
      </c>
      <c r="M31" s="111"/>
      <c r="N31" s="67" t="s">
        <v>40</v>
      </c>
      <c r="O31" s="66"/>
      <c r="P31" s="66"/>
      <c r="Q31" s="111"/>
      <c r="R31" s="111" t="s">
        <v>242</v>
      </c>
      <c r="S31" s="66" t="s">
        <v>169</v>
      </c>
      <c r="T31" s="111"/>
      <c r="U31" s="66"/>
      <c r="V31" s="111"/>
      <c r="W31" s="111"/>
      <c r="X31" s="111"/>
      <c r="Y31" s="66" t="s">
        <v>38</v>
      </c>
      <c r="Z31" s="111" t="s">
        <v>225</v>
      </c>
      <c r="AA31" s="111"/>
      <c r="AB31" s="111"/>
      <c r="AC31" s="66"/>
      <c r="AD31" s="66"/>
      <c r="AE31" s="66"/>
      <c r="AF31" s="111" t="s">
        <v>37</v>
      </c>
      <c r="AG31" s="67" t="s">
        <v>156</v>
      </c>
      <c r="AH31" s="143"/>
      <c r="AI31" s="253"/>
      <c r="AJ31" s="249"/>
    </row>
    <row r="32" spans="2:36" ht="23.5" customHeight="1" x14ac:dyDescent="0.2">
      <c r="B32" s="254" t="s">
        <v>84</v>
      </c>
      <c r="C32" s="256" t="s">
        <v>82</v>
      </c>
      <c r="D32" s="62" t="s">
        <v>269</v>
      </c>
      <c r="E32" s="62" t="s">
        <v>270</v>
      </c>
      <c r="F32" s="62" t="s">
        <v>269</v>
      </c>
      <c r="G32" s="62" t="s">
        <v>269</v>
      </c>
      <c r="H32" s="60" t="s">
        <v>270</v>
      </c>
      <c r="I32" s="62" t="s">
        <v>269</v>
      </c>
      <c r="J32" s="62" t="s">
        <v>269</v>
      </c>
      <c r="K32" s="62" t="s">
        <v>270</v>
      </c>
      <c r="L32" s="62" t="s">
        <v>269</v>
      </c>
      <c r="M32" s="62" t="s">
        <v>269</v>
      </c>
      <c r="N32" s="62" t="s">
        <v>270</v>
      </c>
      <c r="O32" s="62" t="s">
        <v>269</v>
      </c>
      <c r="P32" s="62" t="s">
        <v>269</v>
      </c>
      <c r="Q32" s="62" t="s">
        <v>270</v>
      </c>
      <c r="R32" s="62" t="s">
        <v>270</v>
      </c>
      <c r="S32" s="62" t="s">
        <v>269</v>
      </c>
      <c r="T32" s="62" t="s">
        <v>270</v>
      </c>
      <c r="U32" s="62" t="s">
        <v>270</v>
      </c>
      <c r="V32" s="62" t="s">
        <v>269</v>
      </c>
      <c r="W32" s="62" t="s">
        <v>269</v>
      </c>
      <c r="X32" s="62" t="s">
        <v>270</v>
      </c>
      <c r="Y32" s="62" t="s">
        <v>270</v>
      </c>
      <c r="Z32" s="62" t="s">
        <v>269</v>
      </c>
      <c r="AA32" s="62" t="s">
        <v>270</v>
      </c>
      <c r="AB32" s="62" t="s">
        <v>270</v>
      </c>
      <c r="AC32" s="62" t="s">
        <v>269</v>
      </c>
      <c r="AD32" s="62" t="s">
        <v>270</v>
      </c>
      <c r="AE32" s="62" t="s">
        <v>269</v>
      </c>
      <c r="AF32" s="62" t="s">
        <v>270</v>
      </c>
      <c r="AG32" s="62" t="s">
        <v>270</v>
      </c>
      <c r="AH32" s="62" t="s">
        <v>270</v>
      </c>
      <c r="AI32" s="258" t="s">
        <v>82</v>
      </c>
      <c r="AJ32" s="260" t="s">
        <v>84</v>
      </c>
    </row>
    <row r="33" spans="2:36" ht="23.5" customHeight="1" x14ac:dyDescent="0.2">
      <c r="B33" s="254"/>
      <c r="C33" s="257"/>
      <c r="D33" s="70" t="s">
        <v>277</v>
      </c>
      <c r="E33" s="63" t="s">
        <v>24</v>
      </c>
      <c r="F33" s="63" t="s">
        <v>414</v>
      </c>
      <c r="G33" s="63" t="s">
        <v>282</v>
      </c>
      <c r="H33" s="63" t="s">
        <v>272</v>
      </c>
      <c r="I33" s="71" t="s">
        <v>278</v>
      </c>
      <c r="J33" s="71" t="s">
        <v>471</v>
      </c>
      <c r="K33" s="71" t="s">
        <v>472</v>
      </c>
      <c r="L33" s="63" t="s">
        <v>276</v>
      </c>
      <c r="M33" s="63" t="s">
        <v>279</v>
      </c>
      <c r="N33" s="63" t="s">
        <v>42</v>
      </c>
      <c r="O33" s="71" t="s">
        <v>277</v>
      </c>
      <c r="P33" s="71" t="s">
        <v>415</v>
      </c>
      <c r="Q33" s="71" t="s">
        <v>22</v>
      </c>
      <c r="R33" s="63" t="s">
        <v>23</v>
      </c>
      <c r="S33" s="63" t="s">
        <v>275</v>
      </c>
      <c r="T33" s="63" t="s">
        <v>473</v>
      </c>
      <c r="U33" s="63" t="s">
        <v>42</v>
      </c>
      <c r="V33" s="63" t="s">
        <v>276</v>
      </c>
      <c r="W33" s="63" t="s">
        <v>212</v>
      </c>
      <c r="X33" s="63" t="s">
        <v>24</v>
      </c>
      <c r="Y33" s="63" t="s">
        <v>21</v>
      </c>
      <c r="Z33" s="63" t="s">
        <v>273</v>
      </c>
      <c r="AA33" s="63" t="s">
        <v>472</v>
      </c>
      <c r="AB33" s="63" t="s">
        <v>23</v>
      </c>
      <c r="AC33" s="63" t="s">
        <v>282</v>
      </c>
      <c r="AD33" s="63" t="s">
        <v>25</v>
      </c>
      <c r="AE33" s="63" t="s">
        <v>414</v>
      </c>
      <c r="AF33" s="63" t="s">
        <v>473</v>
      </c>
      <c r="AG33" s="63" t="s">
        <v>472</v>
      </c>
      <c r="AH33" s="144" t="s">
        <v>21</v>
      </c>
      <c r="AI33" s="259"/>
      <c r="AJ33" s="260"/>
    </row>
    <row r="34" spans="2:36" ht="23.5" customHeight="1" x14ac:dyDescent="0.2">
      <c r="B34" s="254"/>
      <c r="C34" s="256" t="s">
        <v>83</v>
      </c>
      <c r="D34" s="69" t="s">
        <v>51</v>
      </c>
      <c r="E34" s="62" t="s">
        <v>26</v>
      </c>
      <c r="F34" s="62" t="s">
        <v>385</v>
      </c>
      <c r="G34" s="62" t="s">
        <v>32</v>
      </c>
      <c r="H34" s="62" t="s">
        <v>209</v>
      </c>
      <c r="I34" s="60" t="s">
        <v>33</v>
      </c>
      <c r="J34" s="60" t="s">
        <v>48</v>
      </c>
      <c r="K34" s="60" t="s">
        <v>49</v>
      </c>
      <c r="L34" s="62" t="s">
        <v>30</v>
      </c>
      <c r="M34" s="62" t="s">
        <v>516</v>
      </c>
      <c r="N34" s="62" t="s">
        <v>48</v>
      </c>
      <c r="O34" s="60" t="s">
        <v>32</v>
      </c>
      <c r="P34" s="60" t="s">
        <v>50</v>
      </c>
      <c r="Q34" s="60" t="s">
        <v>29</v>
      </c>
      <c r="R34" s="62" t="s">
        <v>45</v>
      </c>
      <c r="S34" s="62" t="s">
        <v>54</v>
      </c>
      <c r="T34" s="62" t="s">
        <v>47</v>
      </c>
      <c r="U34" s="62" t="s">
        <v>53</v>
      </c>
      <c r="V34" s="62" t="s">
        <v>50</v>
      </c>
      <c r="W34" s="62" t="s">
        <v>51</v>
      </c>
      <c r="X34" s="62" t="s">
        <v>33</v>
      </c>
      <c r="Y34" s="62" t="s">
        <v>48</v>
      </c>
      <c r="Z34" s="62" t="s">
        <v>52</v>
      </c>
      <c r="AA34" s="62" t="s">
        <v>112</v>
      </c>
      <c r="AB34" s="62" t="s">
        <v>44</v>
      </c>
      <c r="AC34" s="62" t="s">
        <v>29</v>
      </c>
      <c r="AD34" s="62" t="s">
        <v>34</v>
      </c>
      <c r="AE34" s="62" t="s">
        <v>51</v>
      </c>
      <c r="AF34" s="62" t="s">
        <v>28</v>
      </c>
      <c r="AG34" s="62" t="s">
        <v>52</v>
      </c>
      <c r="AH34" s="145" t="s">
        <v>27</v>
      </c>
      <c r="AI34" s="258" t="s">
        <v>83</v>
      </c>
      <c r="AJ34" s="260"/>
    </row>
    <row r="35" spans="2:36" ht="23.5" customHeight="1" thickBot="1" x14ac:dyDescent="0.25">
      <c r="B35" s="255"/>
      <c r="C35" s="241"/>
      <c r="D35" s="73" t="s">
        <v>62</v>
      </c>
      <c r="E35" s="111" t="s">
        <v>198</v>
      </c>
      <c r="F35" s="111" t="s">
        <v>397</v>
      </c>
      <c r="G35" s="111" t="s">
        <v>58</v>
      </c>
      <c r="H35" s="111" t="s">
        <v>210</v>
      </c>
      <c r="I35" s="66" t="s">
        <v>179</v>
      </c>
      <c r="J35" s="66" t="s">
        <v>395</v>
      </c>
      <c r="K35" s="66" t="s">
        <v>61</v>
      </c>
      <c r="L35" s="111" t="s">
        <v>233</v>
      </c>
      <c r="M35" s="111" t="s">
        <v>517</v>
      </c>
      <c r="N35" s="111" t="s">
        <v>530</v>
      </c>
      <c r="O35" s="66" t="s">
        <v>65</v>
      </c>
      <c r="P35" s="66" t="s">
        <v>531</v>
      </c>
      <c r="Q35" s="66" t="s">
        <v>60</v>
      </c>
      <c r="R35" s="111" t="s">
        <v>109</v>
      </c>
      <c r="S35" s="111" t="s">
        <v>518</v>
      </c>
      <c r="T35" s="111" t="s">
        <v>57</v>
      </c>
      <c r="U35" s="111" t="s">
        <v>404</v>
      </c>
      <c r="V35" s="111" t="s">
        <v>532</v>
      </c>
      <c r="W35" s="111" t="s">
        <v>235</v>
      </c>
      <c r="X35" s="111" t="s">
        <v>266</v>
      </c>
      <c r="Y35" s="111" t="s">
        <v>267</v>
      </c>
      <c r="Z35" s="111" t="s">
        <v>147</v>
      </c>
      <c r="AA35" s="111" t="s">
        <v>217</v>
      </c>
      <c r="AB35" s="111" t="s">
        <v>55</v>
      </c>
      <c r="AC35" s="111" t="s">
        <v>59</v>
      </c>
      <c r="AD35" s="111" t="s">
        <v>399</v>
      </c>
      <c r="AE35" s="111" t="s">
        <v>398</v>
      </c>
      <c r="AF35" s="111" t="s">
        <v>241</v>
      </c>
      <c r="AG35" s="111" t="s">
        <v>268</v>
      </c>
      <c r="AH35" s="146" t="s">
        <v>66</v>
      </c>
      <c r="AI35" s="243"/>
      <c r="AJ35" s="261"/>
    </row>
    <row r="36" spans="2:36" ht="23" customHeight="1" x14ac:dyDescent="0.2">
      <c r="B36" s="230" t="s">
        <v>67</v>
      </c>
      <c r="C36" s="233" t="s">
        <v>12</v>
      </c>
      <c r="D36" s="62" t="s">
        <v>74</v>
      </c>
      <c r="E36" s="62" t="s">
        <v>506</v>
      </c>
      <c r="F36" s="62"/>
      <c r="G36" s="62"/>
      <c r="H36" s="62"/>
      <c r="I36" s="62"/>
      <c r="J36" s="54"/>
      <c r="K36" s="54" t="s">
        <v>36</v>
      </c>
      <c r="L36" s="62" t="s">
        <v>506</v>
      </c>
      <c r="M36" s="62"/>
      <c r="N36" s="53" t="s">
        <v>371</v>
      </c>
      <c r="O36" s="54"/>
      <c r="P36" s="54"/>
      <c r="Q36" s="54"/>
      <c r="R36" s="54" t="s">
        <v>73</v>
      </c>
      <c r="S36" s="62" t="s">
        <v>69</v>
      </c>
      <c r="T36" s="62"/>
      <c r="U36" s="54"/>
      <c r="V36" s="54"/>
      <c r="W36" s="54"/>
      <c r="X36" s="54"/>
      <c r="Y36" s="54" t="s">
        <v>373</v>
      </c>
      <c r="Z36" s="62" t="s">
        <v>506</v>
      </c>
      <c r="AA36" s="62"/>
      <c r="AB36" s="54"/>
      <c r="AC36" s="54"/>
      <c r="AD36" s="54"/>
      <c r="AE36" s="54"/>
      <c r="AF36" s="54" t="s">
        <v>370</v>
      </c>
      <c r="AG36" s="62" t="s">
        <v>506</v>
      </c>
      <c r="AH36" s="62"/>
      <c r="AI36" s="235" t="s">
        <v>12</v>
      </c>
      <c r="AJ36" s="237" t="s">
        <v>67</v>
      </c>
    </row>
    <row r="37" spans="2:36" ht="23" customHeight="1" x14ac:dyDescent="0.2">
      <c r="B37" s="231"/>
      <c r="C37" s="234"/>
      <c r="D37" s="57"/>
      <c r="E37" s="57" t="s">
        <v>505</v>
      </c>
      <c r="F37" s="57"/>
      <c r="G37" s="112"/>
      <c r="H37" s="57"/>
      <c r="I37" s="112"/>
      <c r="J37" s="57"/>
      <c r="K37" s="57"/>
      <c r="L37" s="57" t="s">
        <v>509</v>
      </c>
      <c r="M37" s="57"/>
      <c r="N37" s="56"/>
      <c r="O37" s="57"/>
      <c r="P37" s="57"/>
      <c r="Q37" s="57"/>
      <c r="R37" s="57"/>
      <c r="S37" s="57" t="s">
        <v>512</v>
      </c>
      <c r="T37" s="57"/>
      <c r="U37" s="57"/>
      <c r="V37" s="57"/>
      <c r="W37" s="57"/>
      <c r="X37" s="57"/>
      <c r="Y37" s="57"/>
      <c r="Z37" s="57" t="s">
        <v>511</v>
      </c>
      <c r="AA37" s="57"/>
      <c r="AB37" s="57"/>
      <c r="AC37" s="57"/>
      <c r="AD37" s="57"/>
      <c r="AE37" s="57"/>
      <c r="AF37" s="57"/>
      <c r="AG37" s="57" t="s">
        <v>515</v>
      </c>
      <c r="AH37" s="57"/>
      <c r="AI37" s="236"/>
      <c r="AJ37" s="238"/>
    </row>
    <row r="38" spans="2:36" ht="23" customHeight="1" x14ac:dyDescent="0.2">
      <c r="B38" s="231"/>
      <c r="C38" s="240" t="s">
        <v>14</v>
      </c>
      <c r="D38" s="113" t="s">
        <v>74</v>
      </c>
      <c r="E38" s="113" t="s">
        <v>69</v>
      </c>
      <c r="F38" s="113" t="s">
        <v>373</v>
      </c>
      <c r="G38" s="113" t="s">
        <v>36</v>
      </c>
      <c r="H38" s="113" t="s">
        <v>370</v>
      </c>
      <c r="I38" s="114" t="s">
        <v>506</v>
      </c>
      <c r="J38" s="113" t="s">
        <v>74</v>
      </c>
      <c r="K38" s="113" t="s">
        <v>36</v>
      </c>
      <c r="L38" s="113" t="s">
        <v>69</v>
      </c>
      <c r="M38" s="113" t="s">
        <v>373</v>
      </c>
      <c r="N38" s="113" t="s">
        <v>371</v>
      </c>
      <c r="O38" s="113" t="s">
        <v>369</v>
      </c>
      <c r="P38" s="113" t="s">
        <v>506</v>
      </c>
      <c r="Q38" s="114" t="s">
        <v>370</v>
      </c>
      <c r="R38" s="113" t="s">
        <v>73</v>
      </c>
      <c r="S38" s="113" t="s">
        <v>506</v>
      </c>
      <c r="T38" s="113" t="s">
        <v>370</v>
      </c>
      <c r="U38" s="113" t="s">
        <v>36</v>
      </c>
      <c r="V38" s="113" t="s">
        <v>373</v>
      </c>
      <c r="W38" s="113" t="s">
        <v>506</v>
      </c>
      <c r="X38" s="113" t="s">
        <v>369</v>
      </c>
      <c r="Y38" s="113" t="s">
        <v>373</v>
      </c>
      <c r="Z38" s="113" t="s">
        <v>69</v>
      </c>
      <c r="AA38" s="113" t="s">
        <v>36</v>
      </c>
      <c r="AB38" s="113" t="s">
        <v>74</v>
      </c>
      <c r="AC38" s="113" t="s">
        <v>369</v>
      </c>
      <c r="AD38" s="113" t="s">
        <v>506</v>
      </c>
      <c r="AE38" s="113" t="s">
        <v>372</v>
      </c>
      <c r="AF38" s="113" t="s">
        <v>370</v>
      </c>
      <c r="AG38" s="113" t="s">
        <v>69</v>
      </c>
      <c r="AH38" s="113" t="s">
        <v>369</v>
      </c>
      <c r="AI38" s="242" t="s">
        <v>14</v>
      </c>
      <c r="AJ38" s="238"/>
    </row>
    <row r="39" spans="2:36" ht="23" customHeight="1" thickBot="1" x14ac:dyDescent="0.25">
      <c r="B39" s="232"/>
      <c r="C39" s="241"/>
      <c r="D39" s="78"/>
      <c r="E39" s="79" t="s">
        <v>504</v>
      </c>
      <c r="F39" s="80"/>
      <c r="G39" s="78"/>
      <c r="H39" s="80"/>
      <c r="I39" s="80" t="s">
        <v>507</v>
      </c>
      <c r="J39" s="79"/>
      <c r="K39" s="78"/>
      <c r="L39" s="80" t="s">
        <v>508</v>
      </c>
      <c r="M39" s="80"/>
      <c r="N39" s="78"/>
      <c r="O39" s="78"/>
      <c r="P39" s="80" t="s">
        <v>511</v>
      </c>
      <c r="Q39" s="79"/>
      <c r="R39" s="78"/>
      <c r="S39" s="78" t="s">
        <v>512</v>
      </c>
      <c r="T39" s="79"/>
      <c r="U39" s="80"/>
      <c r="V39" s="78"/>
      <c r="W39" s="80" t="s">
        <v>513</v>
      </c>
      <c r="X39" s="81"/>
      <c r="Y39" s="78"/>
      <c r="Z39" s="78" t="s">
        <v>510</v>
      </c>
      <c r="AA39" s="78"/>
      <c r="AB39" s="78"/>
      <c r="AC39" s="78"/>
      <c r="AD39" s="78" t="s">
        <v>514</v>
      </c>
      <c r="AE39" s="78"/>
      <c r="AF39" s="78"/>
      <c r="AG39" s="78" t="s">
        <v>308</v>
      </c>
      <c r="AH39" s="147"/>
      <c r="AI39" s="243"/>
      <c r="AJ39" s="239"/>
    </row>
  </sheetData>
  <mergeCells count="37">
    <mergeCell ref="B7:C7"/>
    <mergeCell ref="AI7:AJ7"/>
    <mergeCell ref="B2:AJ2"/>
    <mergeCell ref="B3:C4"/>
    <mergeCell ref="AI3:AJ4"/>
    <mergeCell ref="B5:C6"/>
    <mergeCell ref="AI5:AJ6"/>
    <mergeCell ref="B20:B23"/>
    <mergeCell ref="C20:C21"/>
    <mergeCell ref="AI20:AI21"/>
    <mergeCell ref="AJ20:AJ23"/>
    <mergeCell ref="C22:C23"/>
    <mergeCell ref="AI22:AI23"/>
    <mergeCell ref="B24:B27"/>
    <mergeCell ref="C24:C25"/>
    <mergeCell ref="AI24:AI25"/>
    <mergeCell ref="AJ24:AJ27"/>
    <mergeCell ref="C26:C27"/>
    <mergeCell ref="AI26:AI27"/>
    <mergeCell ref="B28:B31"/>
    <mergeCell ref="C28:C29"/>
    <mergeCell ref="AI28:AI29"/>
    <mergeCell ref="AJ28:AJ31"/>
    <mergeCell ref="C30:C31"/>
    <mergeCell ref="AI30:AI31"/>
    <mergeCell ref="B32:B35"/>
    <mergeCell ref="C32:C33"/>
    <mergeCell ref="AI32:AI33"/>
    <mergeCell ref="AJ32:AJ35"/>
    <mergeCell ref="C34:C35"/>
    <mergeCell ref="AI34:AI35"/>
    <mergeCell ref="B36:B39"/>
    <mergeCell ref="C36:C37"/>
    <mergeCell ref="AI36:AI37"/>
    <mergeCell ref="AJ36:AJ39"/>
    <mergeCell ref="C38:C39"/>
    <mergeCell ref="AI38:AI39"/>
  </mergeCells>
  <phoneticPr fontId="4"/>
  <conditionalFormatting sqref="D8:E8">
    <cfRule type="containsText" dxfId="291" priority="22" operator="containsText" text="休">
      <formula>NOT(ISERROR(SEARCH("休",D8)))</formula>
    </cfRule>
    <cfRule type="cellIs" dxfId="290" priority="23" operator="equal">
      <formula>"㉕"</formula>
    </cfRule>
    <cfRule type="cellIs" dxfId="289" priority="24" operator="equal">
      <formula>"休"</formula>
    </cfRule>
    <cfRule type="containsText" dxfId="288" priority="21" operator="containsText" text="㉕">
      <formula>NOT(ISERROR(SEARCH("㉕",D8)))</formula>
    </cfRule>
  </conditionalFormatting>
  <conditionalFormatting sqref="D16:M17">
    <cfRule type="cellIs" dxfId="287" priority="83" operator="equal">
      <formula>"㉕"</formula>
    </cfRule>
    <cfRule type="containsText" dxfId="286" priority="82" operator="containsText" text="休">
      <formula>NOT(ISERROR(SEARCH("休",D16)))</formula>
    </cfRule>
    <cfRule type="containsText" dxfId="285" priority="81" operator="containsText" text="㉕">
      <formula>NOT(ISERROR(SEARCH("㉕",D16)))</formula>
    </cfRule>
    <cfRule type="cellIs" dxfId="284" priority="84" operator="equal">
      <formula>"休"</formula>
    </cfRule>
  </conditionalFormatting>
  <conditionalFormatting sqref="D9:P9">
    <cfRule type="containsText" dxfId="283" priority="41" operator="containsText" text="㉕">
      <formula>NOT(ISERROR(SEARCH("㉕",D9)))</formula>
    </cfRule>
    <cfRule type="containsText" dxfId="282" priority="42" operator="containsText" text="休">
      <formula>NOT(ISERROR(SEARCH("休",D9)))</formula>
    </cfRule>
    <cfRule type="cellIs" dxfId="281" priority="43" operator="equal">
      <formula>"㉕"</formula>
    </cfRule>
    <cfRule type="cellIs" dxfId="280" priority="44" operator="equal">
      <formula>"休"</formula>
    </cfRule>
  </conditionalFormatting>
  <conditionalFormatting sqref="D15:Y15">
    <cfRule type="cellIs" dxfId="279" priority="39" operator="equal">
      <formula>"㉕"</formula>
    </cfRule>
    <cfRule type="containsText" dxfId="278" priority="38" operator="containsText" text="休">
      <formula>NOT(ISERROR(SEARCH("休",D15)))</formula>
    </cfRule>
    <cfRule type="containsText" dxfId="277" priority="37" operator="containsText" text="㉕">
      <formula>NOT(ISERROR(SEARCH("㉕",D15)))</formula>
    </cfRule>
    <cfRule type="cellIs" dxfId="276" priority="40" operator="equal">
      <formula>"休"</formula>
    </cfRule>
  </conditionalFormatting>
  <conditionalFormatting sqref="D3:AH4">
    <cfRule type="expression" dxfId="275" priority="186">
      <formula>OR(WEEKDAY(D$3)=7,WEEKDAY(D$3)=1)</formula>
    </cfRule>
  </conditionalFormatting>
  <conditionalFormatting sqref="D5:AH7">
    <cfRule type="notContainsBlanks" dxfId="274" priority="185">
      <formula>LEN(TRIM(D5))&gt;0</formula>
    </cfRule>
  </conditionalFormatting>
  <conditionalFormatting sqref="D10:AH14">
    <cfRule type="containsText" dxfId="273" priority="5" operator="containsText" text="㉕">
      <formula>NOT(ISERROR(SEARCH("㉕",D10)))</formula>
    </cfRule>
    <cfRule type="containsText" dxfId="272" priority="6" operator="containsText" text="休">
      <formula>NOT(ISERROR(SEARCH("休",D10)))</formula>
    </cfRule>
    <cfRule type="cellIs" dxfId="271" priority="7" operator="equal">
      <formula>"㉕"</formula>
    </cfRule>
    <cfRule type="cellIs" dxfId="270" priority="8" operator="equal">
      <formula>"休"</formula>
    </cfRule>
  </conditionalFormatting>
  <conditionalFormatting sqref="D18:AH19">
    <cfRule type="containsText" dxfId="269" priority="10" operator="containsText" text="休">
      <formula>NOT(ISERROR(SEARCH("休",D18)))</formula>
    </cfRule>
    <cfRule type="cellIs" dxfId="268" priority="11" operator="equal">
      <formula>"㉕"</formula>
    </cfRule>
    <cfRule type="cellIs" dxfId="267" priority="12" operator="equal">
      <formula>"休"</formula>
    </cfRule>
    <cfRule type="containsText" dxfId="266" priority="9" operator="containsText" text="㉕">
      <formula>NOT(ISERROR(SEARCH("㉕",D18)))</formula>
    </cfRule>
  </conditionalFormatting>
  <conditionalFormatting sqref="D20:AH21">
    <cfRule type="expression" dxfId="265" priority="187">
      <formula>OR(WEEKDAY(D$3)=7,WEEKDAY(D$3)=1)</formula>
    </cfRule>
  </conditionalFormatting>
  <conditionalFormatting sqref="D24:AH25">
    <cfRule type="expression" dxfId="264" priority="188">
      <formula>OR(WEEKDAY(D$3)=7,WEEKDAY(D$3)=1)</formula>
    </cfRule>
  </conditionalFormatting>
  <conditionalFormatting sqref="D28:AH31">
    <cfRule type="expression" dxfId="263" priority="189">
      <formula>OR(WEEKDAY(D$3)=7,WEEKDAY(D$3)=1)</formula>
    </cfRule>
  </conditionalFormatting>
  <conditionalFormatting sqref="D36:AH37">
    <cfRule type="expression" dxfId="262" priority="190">
      <formula>OR(WEEKDAY(D$3)=7,WEEKDAY(D$3)=1)</formula>
    </cfRule>
  </conditionalFormatting>
  <conditionalFormatting sqref="F8:I8">
    <cfRule type="containsText" dxfId="261" priority="91" operator="containsText" text="休">
      <formula>NOT(ISERROR(SEARCH("休",F8)))</formula>
    </cfRule>
    <cfRule type="cellIs" dxfId="260" priority="93" operator="equal">
      <formula>"休"</formula>
    </cfRule>
    <cfRule type="cellIs" dxfId="259" priority="92" operator="equal">
      <formula>"㉕"</formula>
    </cfRule>
  </conditionalFormatting>
  <conditionalFormatting sqref="F8:P8">
    <cfRule type="containsText" dxfId="258" priority="87" operator="containsText" text="㉕">
      <formula>NOT(ISERROR(SEARCH("㉕",F8)))</formula>
    </cfRule>
  </conditionalFormatting>
  <conditionalFormatting sqref="J8:K8">
    <cfRule type="containsText" dxfId="257" priority="86" operator="containsText" text="休">
      <formula>NOT(ISERROR(SEARCH("休",J8)))</formula>
    </cfRule>
  </conditionalFormatting>
  <conditionalFormatting sqref="L16">
    <cfRule type="cellIs" dxfId="256" priority="60" operator="equal">
      <formula>"㉕"</formula>
    </cfRule>
    <cfRule type="containsText" dxfId="255" priority="59" operator="containsText" text="休">
      <formula>NOT(ISERROR(SEARCH("休",L16)))</formula>
    </cfRule>
    <cfRule type="cellIs" dxfId="254" priority="61" operator="equal">
      <formula>"休"</formula>
    </cfRule>
  </conditionalFormatting>
  <conditionalFormatting sqref="L8:P8">
    <cfRule type="cellIs" dxfId="253" priority="90" operator="equal">
      <formula>"休"</formula>
    </cfRule>
    <cfRule type="cellIs" dxfId="252" priority="89" operator="equal">
      <formula>"㉕"</formula>
    </cfRule>
    <cfRule type="containsText" dxfId="251" priority="88" operator="containsText" text="休">
      <formula>NOT(ISERROR(SEARCH("休",L8)))</formula>
    </cfRule>
  </conditionalFormatting>
  <conditionalFormatting sqref="N17:P17">
    <cfRule type="containsText" dxfId="250" priority="26" operator="containsText" text="休">
      <formula>NOT(ISERROR(SEARCH("休",N17)))</formula>
    </cfRule>
    <cfRule type="cellIs" dxfId="249" priority="28" operator="equal">
      <formula>"休"</formula>
    </cfRule>
    <cfRule type="cellIs" dxfId="248" priority="27" operator="equal">
      <formula>"㉕"</formula>
    </cfRule>
    <cfRule type="containsText" dxfId="247" priority="25" operator="containsText" text="㉕">
      <formula>NOT(ISERROR(SEARCH("㉕",N17)))</formula>
    </cfRule>
  </conditionalFormatting>
  <conditionalFormatting sqref="N16:Z16">
    <cfRule type="containsText" dxfId="246" priority="30" operator="containsText" text="休">
      <formula>NOT(ISERROR(SEARCH("休",N16)))</formula>
    </cfRule>
    <cfRule type="cellIs" dxfId="245" priority="31" operator="equal">
      <formula>"㉕"</formula>
    </cfRule>
    <cfRule type="cellIs" dxfId="244" priority="32" operator="equal">
      <formula>"休"</formula>
    </cfRule>
    <cfRule type="containsText" dxfId="243" priority="29" operator="containsText" text="㉕">
      <formula>NOT(ISERROR(SEARCH("㉕",N16)))</formula>
    </cfRule>
  </conditionalFormatting>
  <conditionalFormatting sqref="Q8">
    <cfRule type="cellIs" dxfId="242" priority="47" operator="equal">
      <formula>"㉕"</formula>
    </cfRule>
    <cfRule type="containsText" dxfId="241" priority="46" operator="containsText" text="休">
      <formula>NOT(ISERROR(SEARCH("休",Q8)))</formula>
    </cfRule>
  </conditionalFormatting>
  <conditionalFormatting sqref="Q8:Q9">
    <cfRule type="containsText" dxfId="240" priority="45" operator="containsText" text="㉕">
      <formula>NOT(ISERROR(SEARCH("㉕",Q8)))</formula>
    </cfRule>
    <cfRule type="cellIs" dxfId="239" priority="48" operator="equal">
      <formula>"休"</formula>
    </cfRule>
  </conditionalFormatting>
  <conditionalFormatting sqref="Q9">
    <cfRule type="cellIs" dxfId="238" priority="68" operator="equal">
      <formula>"㉕"</formula>
    </cfRule>
  </conditionalFormatting>
  <conditionalFormatting sqref="Q9:X9">
    <cfRule type="containsText" dxfId="237" priority="66" operator="containsText" text="休">
      <formula>NOT(ISERROR(SEARCH("休",Q9)))</formula>
    </cfRule>
  </conditionalFormatting>
  <conditionalFormatting sqref="Q17:AF17">
    <cfRule type="containsText" dxfId="236" priority="77" operator="containsText" text="㉕">
      <formula>NOT(ISERROR(SEARCH("㉕",Q17)))</formula>
    </cfRule>
    <cfRule type="cellIs" dxfId="235" priority="80" operator="equal">
      <formula>"休"</formula>
    </cfRule>
    <cfRule type="cellIs" dxfId="234" priority="79" operator="equal">
      <formula>"㉕"</formula>
    </cfRule>
    <cfRule type="containsText" dxfId="233" priority="78" operator="containsText" text="休">
      <formula>NOT(ISERROR(SEARCH("休",Q17)))</formula>
    </cfRule>
  </conditionalFormatting>
  <conditionalFormatting sqref="R9">
    <cfRule type="containsText" dxfId="232" priority="85" operator="containsText" text="㉕">
      <formula>NOT(ISERROR(SEARCH("㉕",R9)))</formula>
    </cfRule>
  </conditionalFormatting>
  <conditionalFormatting sqref="R8:AH8">
    <cfRule type="cellIs" dxfId="231" priority="19" operator="equal">
      <formula>"㉕"</formula>
    </cfRule>
    <cfRule type="cellIs" dxfId="230" priority="20" operator="equal">
      <formula>"休"</formula>
    </cfRule>
    <cfRule type="containsText" dxfId="229" priority="18" operator="containsText" text="休">
      <formula>NOT(ISERROR(SEARCH("休",R8)))</formula>
    </cfRule>
    <cfRule type="containsText" dxfId="228" priority="17" operator="containsText" text="㉕">
      <formula>NOT(ISERROR(SEARCH("㉕",R8)))</formula>
    </cfRule>
  </conditionalFormatting>
  <conditionalFormatting sqref="S9:X9">
    <cfRule type="cellIs" dxfId="227" priority="67" operator="equal">
      <formula>"㉕"</formula>
    </cfRule>
  </conditionalFormatting>
  <conditionalFormatting sqref="S9:Y9">
    <cfRule type="containsText" dxfId="226" priority="33" operator="containsText" text="㉕">
      <formula>NOT(ISERROR(SEARCH("㉕",S9)))</formula>
    </cfRule>
    <cfRule type="cellIs" dxfId="225" priority="36" operator="equal">
      <formula>"休"</formula>
    </cfRule>
  </conditionalFormatting>
  <conditionalFormatting sqref="U17">
    <cfRule type="containsText" dxfId="224" priority="56" operator="containsText" text="休">
      <formula>NOT(ISERROR(SEARCH("休",U17)))</formula>
    </cfRule>
    <cfRule type="cellIs" dxfId="223" priority="57" operator="equal">
      <formula>"㉕"</formula>
    </cfRule>
    <cfRule type="cellIs" dxfId="222" priority="58" operator="equal">
      <formula>"休"</formula>
    </cfRule>
  </conditionalFormatting>
  <conditionalFormatting sqref="Y9">
    <cfRule type="cellIs" dxfId="221" priority="35" operator="equal">
      <formula>"㉕"</formula>
    </cfRule>
    <cfRule type="containsText" dxfId="220" priority="34" operator="containsText" text="休">
      <formula>NOT(ISERROR(SEARCH("休",Y9)))</formula>
    </cfRule>
  </conditionalFormatting>
  <conditionalFormatting sqref="Z9">
    <cfRule type="containsText" dxfId="219" priority="65" operator="containsText" text="㉕">
      <formula>NOT(ISERROR(SEARCH("㉕",Z9)))</formula>
    </cfRule>
  </conditionalFormatting>
  <conditionalFormatting sqref="Z9:AH9">
    <cfRule type="containsText" dxfId="218" priority="62" operator="containsText" text="休">
      <formula>NOT(ISERROR(SEARCH("休",Z9)))</formula>
    </cfRule>
  </conditionalFormatting>
  <conditionalFormatting sqref="Z15:AH15">
    <cfRule type="cellIs" dxfId="217" priority="72" operator="equal">
      <formula>"休"</formula>
    </cfRule>
    <cfRule type="cellIs" dxfId="216" priority="71" operator="equal">
      <formula>"㉕"</formula>
    </cfRule>
    <cfRule type="containsText" dxfId="215" priority="70" operator="containsText" text="休">
      <formula>NOT(ISERROR(SEARCH("休",Z15)))</formula>
    </cfRule>
    <cfRule type="containsText" dxfId="214" priority="69" operator="containsText" text="㉕">
      <formula>NOT(ISERROR(SEARCH("㉕",Z15)))</formula>
    </cfRule>
  </conditionalFormatting>
  <conditionalFormatting sqref="AA9:AH9">
    <cfRule type="cellIs" dxfId="213" priority="64" operator="equal">
      <formula>"休"</formula>
    </cfRule>
    <cfRule type="containsText" dxfId="212" priority="49" operator="containsText" text="㉕">
      <formula>NOT(ISERROR(SEARCH("㉕",AA9)))</formula>
    </cfRule>
    <cfRule type="cellIs" dxfId="211" priority="63" operator="equal">
      <formula>"㉕"</formula>
    </cfRule>
  </conditionalFormatting>
  <conditionalFormatting sqref="AA16:AH16">
    <cfRule type="cellIs" dxfId="210" priority="75" operator="equal">
      <formula>"㉕"</formula>
    </cfRule>
    <cfRule type="cellIs" dxfId="209" priority="76" operator="equal">
      <formula>"休"</formula>
    </cfRule>
    <cfRule type="containsText" dxfId="208" priority="74" operator="containsText" text="休">
      <formula>NOT(ISERROR(SEARCH("休",AA16)))</formula>
    </cfRule>
    <cfRule type="containsText" dxfId="207" priority="73" operator="containsText" text="㉕">
      <formula>NOT(ISERROR(SEARCH("㉕",AA16)))</formula>
    </cfRule>
  </conditionalFormatting>
  <conditionalFormatting sqref="AC15">
    <cfRule type="cellIs" dxfId="206" priority="55" operator="equal">
      <formula>"休"</formula>
    </cfRule>
    <cfRule type="cellIs" dxfId="205" priority="54" operator="equal">
      <formula>"㉕"</formula>
    </cfRule>
    <cfRule type="containsText" dxfId="204" priority="53" operator="containsText" text="休">
      <formula>NOT(ISERROR(SEARCH("休",AC15)))</formula>
    </cfRule>
  </conditionalFormatting>
  <conditionalFormatting sqref="AF16">
    <cfRule type="cellIs" dxfId="203" priority="52" operator="equal">
      <formula>"休"</formula>
    </cfRule>
    <cfRule type="containsText" dxfId="202" priority="50" operator="containsText" text="休">
      <formula>NOT(ISERROR(SEARCH("休",AF16)))</formula>
    </cfRule>
    <cfRule type="cellIs" dxfId="201" priority="51" operator="equal">
      <formula>"㉕"</formula>
    </cfRule>
  </conditionalFormatting>
  <conditionalFormatting sqref="AG17:AH17">
    <cfRule type="containsText" dxfId="200" priority="2" operator="containsText" text="休">
      <formula>NOT(ISERROR(SEARCH("休",AG17)))</formula>
    </cfRule>
    <cfRule type="containsText" dxfId="199" priority="1" operator="containsText" text="㉕">
      <formula>NOT(ISERROR(SEARCH("㉕",AG17)))</formula>
    </cfRule>
    <cfRule type="cellIs" dxfId="198" priority="4" operator="equal">
      <formula>"休"</formula>
    </cfRule>
    <cfRule type="cellIs" dxfId="197" priority="3" operator="equal">
      <formula>"㉕"</formula>
    </cfRule>
  </conditionalFormatting>
  <pageMargins left="0.19685039370078741" right="0.11811023622047245" top="0.11811023622047245" bottom="0.35433070866141736" header="0.31496062992125984" footer="0.31496062992125984"/>
  <pageSetup paperSize="9" scale="37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B8C26-9B77-44AB-BE78-5745E2BC2682}">
  <sheetPr>
    <pageSetUpPr fitToPage="1"/>
  </sheetPr>
  <dimension ref="B2:AO39"/>
  <sheetViews>
    <sheetView zoomScale="50" zoomScaleNormal="50" workbookViewId="0">
      <pane ySplit="4" topLeftCell="A5" activePane="bottomLeft" state="frozen"/>
      <selection pane="bottomLeft"/>
    </sheetView>
  </sheetViews>
  <sheetFormatPr defaultRowHeight="13" x14ac:dyDescent="0.2"/>
  <cols>
    <col min="1" max="3" width="8.7265625" style="14"/>
    <col min="4" max="34" width="11.1796875" style="14" customWidth="1"/>
    <col min="35" max="16384" width="8.7265625" style="14"/>
  </cols>
  <sheetData>
    <row r="2" spans="2:41" ht="41.5" thickBot="1" x14ac:dyDescent="0.25">
      <c r="B2" s="217" t="str">
        <f>AN3 &amp; "年" &amp; AO3 &amp; "月　勤務表"</f>
        <v>2026年7月　勤務表</v>
      </c>
      <c r="C2" s="217"/>
      <c r="D2" s="217"/>
      <c r="E2" s="217"/>
      <c r="F2" s="217"/>
      <c r="G2" s="217"/>
      <c r="H2" s="217"/>
      <c r="I2" s="217"/>
      <c r="J2" s="217"/>
      <c r="K2" s="217"/>
      <c r="L2" s="217"/>
      <c r="M2" s="217"/>
      <c r="N2" s="217"/>
      <c r="O2" s="217"/>
      <c r="P2" s="217"/>
      <c r="Q2" s="217"/>
      <c r="R2" s="217"/>
      <c r="S2" s="217"/>
      <c r="T2" s="217"/>
      <c r="U2" s="217"/>
      <c r="V2" s="217"/>
      <c r="W2" s="217"/>
      <c r="X2" s="217"/>
      <c r="Y2" s="217"/>
      <c r="Z2" s="217"/>
      <c r="AA2" s="217"/>
      <c r="AB2" s="217"/>
      <c r="AC2" s="217"/>
      <c r="AD2" s="217"/>
      <c r="AE2" s="217"/>
      <c r="AF2" s="217"/>
      <c r="AG2" s="217"/>
      <c r="AH2" s="217"/>
      <c r="AI2" s="217"/>
      <c r="AJ2" s="217"/>
    </row>
    <row r="3" spans="2:41" ht="25" x14ac:dyDescent="0.2">
      <c r="B3" s="218" t="str">
        <f>AN3&amp;"年
" &amp;AO3 &amp; "月"</f>
        <v>2026年
7月</v>
      </c>
      <c r="C3" s="219"/>
      <c r="D3" s="15">
        <f>DATE(AN3,AO3,1)</f>
        <v>46204</v>
      </c>
      <c r="E3" s="16">
        <f>D3+1</f>
        <v>46205</v>
      </c>
      <c r="F3" s="16">
        <f t="shared" ref="F3:AH3" si="0">E3+1</f>
        <v>46206</v>
      </c>
      <c r="G3" s="16">
        <f t="shared" si="0"/>
        <v>46207</v>
      </c>
      <c r="H3" s="16">
        <f t="shared" si="0"/>
        <v>46208</v>
      </c>
      <c r="I3" s="16">
        <f t="shared" si="0"/>
        <v>46209</v>
      </c>
      <c r="J3" s="16">
        <f>I3+1</f>
        <v>46210</v>
      </c>
      <c r="K3" s="15">
        <f t="shared" si="0"/>
        <v>46211</v>
      </c>
      <c r="L3" s="16">
        <f t="shared" si="0"/>
        <v>46212</v>
      </c>
      <c r="M3" s="16">
        <f t="shared" si="0"/>
        <v>46213</v>
      </c>
      <c r="N3" s="16">
        <f>M3+1</f>
        <v>46214</v>
      </c>
      <c r="O3" s="16">
        <f t="shared" si="0"/>
        <v>46215</v>
      </c>
      <c r="P3" s="16">
        <f t="shared" si="0"/>
        <v>46216</v>
      </c>
      <c r="Q3" s="16">
        <f t="shared" si="0"/>
        <v>46217</v>
      </c>
      <c r="R3" s="16">
        <f t="shared" si="0"/>
        <v>46218</v>
      </c>
      <c r="S3" s="16">
        <f t="shared" si="0"/>
        <v>46219</v>
      </c>
      <c r="T3" s="16">
        <f t="shared" si="0"/>
        <v>46220</v>
      </c>
      <c r="U3" s="16">
        <f t="shared" si="0"/>
        <v>46221</v>
      </c>
      <c r="V3" s="16">
        <f t="shared" si="0"/>
        <v>46222</v>
      </c>
      <c r="W3" s="17">
        <f t="shared" si="0"/>
        <v>46223</v>
      </c>
      <c r="X3" s="16">
        <f t="shared" si="0"/>
        <v>46224</v>
      </c>
      <c r="Y3" s="16">
        <f t="shared" si="0"/>
        <v>46225</v>
      </c>
      <c r="Z3" s="16">
        <f>Y3+1</f>
        <v>46226</v>
      </c>
      <c r="AA3" s="16">
        <f t="shared" si="0"/>
        <v>46227</v>
      </c>
      <c r="AB3" s="16">
        <f t="shared" si="0"/>
        <v>46228</v>
      </c>
      <c r="AC3" s="16">
        <f t="shared" si="0"/>
        <v>46229</v>
      </c>
      <c r="AD3" s="16">
        <f>AC3+1</f>
        <v>46230</v>
      </c>
      <c r="AE3" s="16">
        <f t="shared" si="0"/>
        <v>46231</v>
      </c>
      <c r="AF3" s="16">
        <f>AE3+1</f>
        <v>46232</v>
      </c>
      <c r="AG3" s="16">
        <f t="shared" si="0"/>
        <v>46233</v>
      </c>
      <c r="AH3" s="16">
        <f t="shared" si="0"/>
        <v>46234</v>
      </c>
      <c r="AI3" s="222" t="str">
        <f>B3</f>
        <v>2026年
7月</v>
      </c>
      <c r="AJ3" s="223"/>
      <c r="AN3" s="14">
        <v>2026</v>
      </c>
      <c r="AO3" s="14">
        <v>7</v>
      </c>
    </row>
    <row r="4" spans="2:41" ht="25.5" thickBot="1" x14ac:dyDescent="0.25">
      <c r="B4" s="220"/>
      <c r="C4" s="221"/>
      <c r="D4" s="18">
        <f>D3</f>
        <v>46204</v>
      </c>
      <c r="E4" s="18">
        <f t="shared" ref="E4:AE4" si="1">E3</f>
        <v>46205</v>
      </c>
      <c r="F4" s="18">
        <f t="shared" si="1"/>
        <v>46206</v>
      </c>
      <c r="G4" s="18">
        <f t="shared" si="1"/>
        <v>46207</v>
      </c>
      <c r="H4" s="18">
        <f t="shared" si="1"/>
        <v>46208</v>
      </c>
      <c r="I4" s="18">
        <f t="shared" si="1"/>
        <v>46209</v>
      </c>
      <c r="J4" s="18">
        <f t="shared" si="1"/>
        <v>46210</v>
      </c>
      <c r="K4" s="18">
        <f t="shared" si="1"/>
        <v>46211</v>
      </c>
      <c r="L4" s="18">
        <f t="shared" si="1"/>
        <v>46212</v>
      </c>
      <c r="M4" s="18">
        <f t="shared" si="1"/>
        <v>46213</v>
      </c>
      <c r="N4" s="18">
        <f t="shared" si="1"/>
        <v>46214</v>
      </c>
      <c r="O4" s="18">
        <f t="shared" si="1"/>
        <v>46215</v>
      </c>
      <c r="P4" s="18">
        <f t="shared" si="1"/>
        <v>46216</v>
      </c>
      <c r="Q4" s="18">
        <f t="shared" si="1"/>
        <v>46217</v>
      </c>
      <c r="R4" s="18">
        <f t="shared" si="1"/>
        <v>46218</v>
      </c>
      <c r="S4" s="18">
        <f t="shared" si="1"/>
        <v>46219</v>
      </c>
      <c r="T4" s="18">
        <f t="shared" si="1"/>
        <v>46220</v>
      </c>
      <c r="U4" s="18">
        <f t="shared" si="1"/>
        <v>46221</v>
      </c>
      <c r="V4" s="18">
        <f t="shared" si="1"/>
        <v>46222</v>
      </c>
      <c r="W4" s="19">
        <f t="shared" si="1"/>
        <v>46223</v>
      </c>
      <c r="X4" s="18">
        <f t="shared" si="1"/>
        <v>46224</v>
      </c>
      <c r="Y4" s="18">
        <f t="shared" si="1"/>
        <v>46225</v>
      </c>
      <c r="Z4" s="18">
        <f t="shared" si="1"/>
        <v>46226</v>
      </c>
      <c r="AA4" s="18">
        <f t="shared" si="1"/>
        <v>46227</v>
      </c>
      <c r="AB4" s="18">
        <f t="shared" si="1"/>
        <v>46228</v>
      </c>
      <c r="AC4" s="18">
        <f t="shared" si="1"/>
        <v>46229</v>
      </c>
      <c r="AD4" s="18">
        <f t="shared" si="1"/>
        <v>46230</v>
      </c>
      <c r="AE4" s="18">
        <f t="shared" si="1"/>
        <v>46231</v>
      </c>
      <c r="AF4" s="18">
        <f>AF3</f>
        <v>46232</v>
      </c>
      <c r="AG4" s="18">
        <f>AG3</f>
        <v>46233</v>
      </c>
      <c r="AH4" s="18">
        <f>AH3</f>
        <v>46234</v>
      </c>
      <c r="AI4" s="224"/>
      <c r="AJ4" s="225"/>
    </row>
    <row r="5" spans="2:41" ht="41" x14ac:dyDescent="0.2">
      <c r="B5" s="226" t="s">
        <v>75</v>
      </c>
      <c r="C5" s="227"/>
      <c r="D5" s="20" t="s">
        <v>1</v>
      </c>
      <c r="E5" s="21" t="s">
        <v>0</v>
      </c>
      <c r="F5" s="20" t="s">
        <v>298</v>
      </c>
      <c r="G5" s="20" t="s">
        <v>1</v>
      </c>
      <c r="H5" s="22" t="s">
        <v>2</v>
      </c>
      <c r="I5" s="20" t="s">
        <v>1</v>
      </c>
      <c r="J5" s="20" t="s">
        <v>1</v>
      </c>
      <c r="K5" s="23" t="s">
        <v>3</v>
      </c>
      <c r="L5" s="24" t="s">
        <v>1</v>
      </c>
      <c r="M5" s="20" t="s">
        <v>299</v>
      </c>
      <c r="N5" s="20" t="s">
        <v>482</v>
      </c>
      <c r="O5" s="20" t="s">
        <v>1</v>
      </c>
      <c r="P5" s="20" t="s">
        <v>1</v>
      </c>
      <c r="Q5" s="20" t="s">
        <v>0</v>
      </c>
      <c r="R5" s="20" t="s">
        <v>426</v>
      </c>
      <c r="S5" s="20" t="s">
        <v>1</v>
      </c>
      <c r="T5" s="24" t="s">
        <v>1</v>
      </c>
      <c r="U5" s="20" t="s">
        <v>1</v>
      </c>
      <c r="V5" s="20" t="s">
        <v>1</v>
      </c>
      <c r="W5" s="20" t="s">
        <v>427</v>
      </c>
      <c r="X5" s="20" t="s">
        <v>1</v>
      </c>
      <c r="Y5" s="24" t="s">
        <v>2</v>
      </c>
      <c r="Z5" s="24" t="s">
        <v>1</v>
      </c>
      <c r="AA5" s="20" t="s">
        <v>0</v>
      </c>
      <c r="AB5" s="20" t="s">
        <v>1</v>
      </c>
      <c r="AC5" s="24" t="s">
        <v>2</v>
      </c>
      <c r="AD5" s="20" t="s">
        <v>1</v>
      </c>
      <c r="AE5" s="24" t="s">
        <v>1</v>
      </c>
      <c r="AF5" s="20" t="s">
        <v>2</v>
      </c>
      <c r="AG5" s="24"/>
      <c r="AH5" s="139"/>
      <c r="AI5" s="228" t="s">
        <v>75</v>
      </c>
      <c r="AJ5" s="229"/>
    </row>
    <row r="6" spans="2:41" ht="20.5" x14ac:dyDescent="0.2">
      <c r="B6" s="226"/>
      <c r="C6" s="227"/>
      <c r="D6" s="20" t="s">
        <v>1</v>
      </c>
      <c r="E6" s="25" t="s">
        <v>1</v>
      </c>
      <c r="F6" s="23" t="s">
        <v>1</v>
      </c>
      <c r="G6" s="23" t="s">
        <v>1</v>
      </c>
      <c r="H6" s="20" t="s">
        <v>1</v>
      </c>
      <c r="I6" s="20" t="s">
        <v>1</v>
      </c>
      <c r="J6" s="24" t="s">
        <v>1</v>
      </c>
      <c r="K6" s="24" t="s">
        <v>1</v>
      </c>
      <c r="L6" s="24" t="s">
        <v>1</v>
      </c>
      <c r="M6" s="23" t="s">
        <v>1</v>
      </c>
      <c r="N6" s="20" t="s">
        <v>427</v>
      </c>
      <c r="O6" s="20" t="s">
        <v>1</v>
      </c>
      <c r="P6" s="20"/>
      <c r="Q6" s="24" t="s">
        <v>1</v>
      </c>
      <c r="R6" s="23" t="s">
        <v>1</v>
      </c>
      <c r="S6" s="24" t="s">
        <v>1</v>
      </c>
      <c r="T6" s="25" t="s">
        <v>1</v>
      </c>
      <c r="U6" s="20" t="s">
        <v>1</v>
      </c>
      <c r="V6" s="20" t="s">
        <v>1</v>
      </c>
      <c r="W6" s="20" t="s">
        <v>428</v>
      </c>
      <c r="X6" s="20" t="s">
        <v>1</v>
      </c>
      <c r="Y6" s="24" t="s">
        <v>1</v>
      </c>
      <c r="Z6" s="24"/>
      <c r="AA6" s="24" t="s">
        <v>1</v>
      </c>
      <c r="AB6" s="24" t="s">
        <v>1</v>
      </c>
      <c r="AC6" s="24" t="s">
        <v>1</v>
      </c>
      <c r="AD6" s="25" t="s">
        <v>1</v>
      </c>
      <c r="AE6" s="25" t="s">
        <v>1</v>
      </c>
      <c r="AF6" s="23" t="s">
        <v>1</v>
      </c>
      <c r="AG6" s="25" t="s">
        <v>1</v>
      </c>
      <c r="AH6" s="140"/>
      <c r="AI6" s="228"/>
      <c r="AJ6" s="229"/>
    </row>
    <row r="7" spans="2:41" ht="21" thickBot="1" x14ac:dyDescent="0.25">
      <c r="B7" s="213" t="s">
        <v>76</v>
      </c>
      <c r="C7" s="214"/>
      <c r="D7" s="27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141"/>
      <c r="AI7" s="215" t="s">
        <v>76</v>
      </c>
      <c r="AJ7" s="216"/>
    </row>
    <row r="8" spans="2:41" ht="66" customHeight="1" x14ac:dyDescent="0.2">
      <c r="B8" s="29" t="s">
        <v>354</v>
      </c>
      <c r="C8" s="30"/>
      <c r="D8" s="124" t="s">
        <v>4</v>
      </c>
      <c r="E8" s="148" t="s">
        <v>483</v>
      </c>
      <c r="F8" s="148" t="s">
        <v>484</v>
      </c>
      <c r="G8" s="116" t="s">
        <v>8</v>
      </c>
      <c r="H8" s="117" t="s">
        <v>5</v>
      </c>
      <c r="I8" s="116" t="s">
        <v>4</v>
      </c>
      <c r="J8" s="118" t="s">
        <v>4</v>
      </c>
      <c r="K8" s="148" t="s">
        <v>330</v>
      </c>
      <c r="L8" s="148" t="s">
        <v>485</v>
      </c>
      <c r="M8" s="148" t="s">
        <v>486</v>
      </c>
      <c r="N8" s="117" t="s">
        <v>5</v>
      </c>
      <c r="O8" s="117" t="s">
        <v>5</v>
      </c>
      <c r="P8" s="116" t="s">
        <v>4</v>
      </c>
      <c r="Q8" s="148" t="s">
        <v>324</v>
      </c>
      <c r="R8" s="148" t="s">
        <v>487</v>
      </c>
      <c r="S8" s="148" t="s">
        <v>323</v>
      </c>
      <c r="T8" s="116" t="s">
        <v>4</v>
      </c>
      <c r="U8" s="117" t="s">
        <v>5</v>
      </c>
      <c r="V8" s="117" t="s">
        <v>5</v>
      </c>
      <c r="W8" s="117" t="s">
        <v>5</v>
      </c>
      <c r="X8" s="116" t="s">
        <v>4</v>
      </c>
      <c r="Y8" s="148" t="s">
        <v>488</v>
      </c>
      <c r="Z8" s="148" t="s">
        <v>323</v>
      </c>
      <c r="AA8" s="148" t="s">
        <v>330</v>
      </c>
      <c r="AB8" s="117" t="s">
        <v>5</v>
      </c>
      <c r="AC8" s="115" t="s">
        <v>6</v>
      </c>
      <c r="AD8" s="115" t="s">
        <v>7</v>
      </c>
      <c r="AE8" s="118" t="s">
        <v>4</v>
      </c>
      <c r="AF8" s="148" t="s">
        <v>489</v>
      </c>
      <c r="AG8" s="148" t="s">
        <v>485</v>
      </c>
      <c r="AH8" s="124" t="s">
        <v>4</v>
      </c>
      <c r="AI8" s="29" t="s">
        <v>354</v>
      </c>
      <c r="AJ8" s="30"/>
    </row>
    <row r="9" spans="2:41" ht="59.5" customHeight="1" x14ac:dyDescent="0.2">
      <c r="B9" s="41" t="s">
        <v>355</v>
      </c>
      <c r="C9" s="42"/>
      <c r="D9" s="119" t="s">
        <v>5</v>
      </c>
      <c r="E9" s="120" t="s">
        <v>6</v>
      </c>
      <c r="F9" s="120" t="s">
        <v>7</v>
      </c>
      <c r="G9" s="120" t="s">
        <v>6</v>
      </c>
      <c r="H9" s="120" t="s">
        <v>7</v>
      </c>
      <c r="I9" s="119" t="s">
        <v>5</v>
      </c>
      <c r="J9" s="124" t="s">
        <v>8</v>
      </c>
      <c r="K9" s="120" t="s">
        <v>6</v>
      </c>
      <c r="L9" s="120" t="s">
        <v>7</v>
      </c>
      <c r="M9" s="120" t="s">
        <v>6</v>
      </c>
      <c r="N9" s="116" t="s">
        <v>347</v>
      </c>
      <c r="O9" s="117" t="s">
        <v>5</v>
      </c>
      <c r="P9" s="115" t="s">
        <v>6</v>
      </c>
      <c r="Q9" s="115" t="s">
        <v>7</v>
      </c>
      <c r="R9" s="115" t="s">
        <v>448</v>
      </c>
      <c r="S9" s="115" t="s">
        <v>7</v>
      </c>
      <c r="T9" s="118" t="s">
        <v>8</v>
      </c>
      <c r="U9" s="116" t="s">
        <v>8</v>
      </c>
      <c r="V9" s="117" t="s">
        <v>5</v>
      </c>
      <c r="W9" s="116" t="s">
        <v>8</v>
      </c>
      <c r="X9" s="119" t="s">
        <v>5</v>
      </c>
      <c r="Y9" s="32" t="s">
        <v>340</v>
      </c>
      <c r="Z9" s="120" t="s">
        <v>6</v>
      </c>
      <c r="AA9" s="120" t="s">
        <v>7</v>
      </c>
      <c r="AB9" s="119" t="s">
        <v>5</v>
      </c>
      <c r="AC9" s="119" t="s">
        <v>5</v>
      </c>
      <c r="AD9" s="120" t="s">
        <v>6</v>
      </c>
      <c r="AE9" s="120" t="s">
        <v>7</v>
      </c>
      <c r="AF9" s="120" t="s">
        <v>6</v>
      </c>
      <c r="AG9" s="120" t="s">
        <v>7</v>
      </c>
      <c r="AH9" s="123" t="s">
        <v>8</v>
      </c>
      <c r="AI9" s="41" t="s">
        <v>355</v>
      </c>
      <c r="AJ9" s="42"/>
    </row>
    <row r="10" spans="2:41" ht="72" customHeight="1" x14ac:dyDescent="0.2">
      <c r="B10" s="41" t="s">
        <v>87</v>
      </c>
      <c r="C10" s="42"/>
      <c r="D10" s="134" t="s">
        <v>356</v>
      </c>
      <c r="E10" s="120" t="s">
        <v>7</v>
      </c>
      <c r="F10" s="120" t="s">
        <v>6</v>
      </c>
      <c r="G10" s="120" t="s">
        <v>7</v>
      </c>
      <c r="H10" s="120" t="s">
        <v>6</v>
      </c>
      <c r="I10" s="116" t="s">
        <v>436</v>
      </c>
      <c r="J10" s="117" t="s">
        <v>335</v>
      </c>
      <c r="K10" s="118" t="s">
        <v>8</v>
      </c>
      <c r="L10" s="115" t="s">
        <v>6</v>
      </c>
      <c r="M10" s="115" t="s">
        <v>7</v>
      </c>
      <c r="N10" s="117" t="s">
        <v>332</v>
      </c>
      <c r="O10" s="115" t="s">
        <v>6</v>
      </c>
      <c r="P10" s="116" t="s">
        <v>436</v>
      </c>
      <c r="Q10" s="117" t="s">
        <v>335</v>
      </c>
      <c r="R10" s="124" t="s">
        <v>8</v>
      </c>
      <c r="S10" s="119" t="s">
        <v>5</v>
      </c>
      <c r="T10" s="119" t="s">
        <v>5</v>
      </c>
      <c r="U10" s="120" t="s">
        <v>6</v>
      </c>
      <c r="V10" s="120" t="s">
        <v>7</v>
      </c>
      <c r="W10" s="120" t="s">
        <v>6</v>
      </c>
      <c r="X10" s="120" t="s">
        <v>7</v>
      </c>
      <c r="Y10" s="124" t="s">
        <v>8</v>
      </c>
      <c r="Z10" s="119" t="s">
        <v>5</v>
      </c>
      <c r="AA10" s="120" t="s">
        <v>6</v>
      </c>
      <c r="AB10" s="120" t="s">
        <v>7</v>
      </c>
      <c r="AC10" s="119" t="s">
        <v>5</v>
      </c>
      <c r="AD10" s="119" t="s">
        <v>5</v>
      </c>
      <c r="AE10" s="124" t="s">
        <v>8</v>
      </c>
      <c r="AF10" s="124" t="s">
        <v>8</v>
      </c>
      <c r="AG10" s="120" t="s">
        <v>6</v>
      </c>
      <c r="AH10" s="120" t="s">
        <v>7</v>
      </c>
      <c r="AI10" s="41" t="s">
        <v>87</v>
      </c>
      <c r="AJ10" s="42"/>
    </row>
    <row r="11" spans="2:41" ht="58.5" customHeight="1" x14ac:dyDescent="0.2">
      <c r="B11" s="41" t="s">
        <v>9</v>
      </c>
      <c r="C11" s="42"/>
      <c r="D11" s="117" t="s">
        <v>5</v>
      </c>
      <c r="E11" s="116" t="s">
        <v>4</v>
      </c>
      <c r="F11" s="118" t="s">
        <v>4</v>
      </c>
      <c r="G11" s="116" t="s">
        <v>4</v>
      </c>
      <c r="H11" s="116" t="s">
        <v>4</v>
      </c>
      <c r="I11" s="116" t="s">
        <v>4</v>
      </c>
      <c r="J11" s="116" t="s">
        <v>4</v>
      </c>
      <c r="K11" s="117" t="s">
        <v>5</v>
      </c>
      <c r="L11" s="116" t="s">
        <v>4</v>
      </c>
      <c r="M11" s="116" t="s">
        <v>4</v>
      </c>
      <c r="N11" s="116" t="s">
        <v>4</v>
      </c>
      <c r="O11" s="117" t="s">
        <v>5</v>
      </c>
      <c r="P11" s="116" t="s">
        <v>4</v>
      </c>
      <c r="Q11" s="116" t="s">
        <v>4</v>
      </c>
      <c r="R11" s="117" t="s">
        <v>5</v>
      </c>
      <c r="S11" s="116" t="s">
        <v>4</v>
      </c>
      <c r="T11" s="116" t="s">
        <v>4</v>
      </c>
      <c r="U11" s="117" t="s">
        <v>5</v>
      </c>
      <c r="V11" s="116" t="s">
        <v>4</v>
      </c>
      <c r="W11" s="32" t="s">
        <v>340</v>
      </c>
      <c r="X11" s="116" t="s">
        <v>4</v>
      </c>
      <c r="Y11" s="117" t="s">
        <v>5</v>
      </c>
      <c r="Z11" s="123" t="s">
        <v>4</v>
      </c>
      <c r="AA11" s="124" t="s">
        <v>4</v>
      </c>
      <c r="AB11" s="124" t="s">
        <v>4</v>
      </c>
      <c r="AC11" s="124" t="s">
        <v>4</v>
      </c>
      <c r="AD11" s="124" t="s">
        <v>4</v>
      </c>
      <c r="AE11" s="124" t="s">
        <v>4</v>
      </c>
      <c r="AF11" s="117" t="s">
        <v>5</v>
      </c>
      <c r="AG11" s="124" t="s">
        <v>4</v>
      </c>
      <c r="AH11" s="124" t="s">
        <v>4</v>
      </c>
      <c r="AI11" s="41" t="s">
        <v>9</v>
      </c>
      <c r="AJ11" s="42"/>
    </row>
    <row r="12" spans="2:41" ht="80" customHeight="1" x14ac:dyDescent="0.3">
      <c r="B12" s="41" t="s">
        <v>88</v>
      </c>
      <c r="C12" s="42"/>
      <c r="D12" s="120" t="s">
        <v>7</v>
      </c>
      <c r="E12" s="124" t="s">
        <v>8</v>
      </c>
      <c r="F12" s="124" t="s">
        <v>8</v>
      </c>
      <c r="G12" s="117" t="s">
        <v>5</v>
      </c>
      <c r="H12" s="116" t="s" ph="1">
        <v>8</v>
      </c>
      <c r="I12" s="116" t="s">
        <v>8</v>
      </c>
      <c r="J12" s="115" t="s">
        <v>339</v>
      </c>
      <c r="K12" s="115" t="s">
        <v>7</v>
      </c>
      <c r="L12" s="118" t="s">
        <v>8</v>
      </c>
      <c r="M12" s="116" t="s">
        <v>8</v>
      </c>
      <c r="N12" s="116" t="s">
        <v>8</v>
      </c>
      <c r="O12" s="116" t="s">
        <v>8</v>
      </c>
      <c r="P12" s="118" t="s">
        <v>8</v>
      </c>
      <c r="Q12" s="117" t="s">
        <v>5</v>
      </c>
      <c r="R12" s="32" t="s">
        <v>340</v>
      </c>
      <c r="S12" s="115" t="s">
        <v>339</v>
      </c>
      <c r="T12" s="116" t="s">
        <v>490</v>
      </c>
      <c r="U12" s="115" t="s">
        <v>491</v>
      </c>
      <c r="V12" s="115" t="s">
        <v>360</v>
      </c>
      <c r="W12" s="115" t="s">
        <v>360</v>
      </c>
      <c r="X12" s="115" t="s">
        <v>339</v>
      </c>
      <c r="Y12" s="115" t="s">
        <v>7</v>
      </c>
      <c r="Z12" s="116" t="s">
        <v>8</v>
      </c>
      <c r="AA12" s="117" t="s">
        <v>5</v>
      </c>
      <c r="AB12" s="118" t="s">
        <v>8</v>
      </c>
      <c r="AC12" s="116" t="s">
        <v>8</v>
      </c>
      <c r="AD12" s="117" t="s">
        <v>5</v>
      </c>
      <c r="AE12" s="115" t="s">
        <v>339</v>
      </c>
      <c r="AF12" s="120" t="s">
        <v>7</v>
      </c>
      <c r="AG12" s="119" t="s">
        <v>5</v>
      </c>
      <c r="AH12" s="119" t="s">
        <v>5</v>
      </c>
      <c r="AI12" s="41" t="s">
        <v>88</v>
      </c>
      <c r="AJ12" s="42"/>
    </row>
    <row r="13" spans="2:41" ht="87" customHeight="1" x14ac:dyDescent="0.2">
      <c r="B13" s="41" t="s">
        <v>89</v>
      </c>
      <c r="C13" s="42"/>
      <c r="D13" s="149" t="s">
        <v>492</v>
      </c>
      <c r="E13" s="149" t="s">
        <v>492</v>
      </c>
      <c r="F13" s="117" t="s">
        <v>5</v>
      </c>
      <c r="G13" s="117" t="s">
        <v>5</v>
      </c>
      <c r="H13" s="117" t="s">
        <v>5</v>
      </c>
      <c r="I13" s="115" t="s">
        <v>6</v>
      </c>
      <c r="J13" s="115" t="s">
        <v>7</v>
      </c>
      <c r="K13" s="116" t="s">
        <v>4</v>
      </c>
      <c r="L13" s="117" t="s">
        <v>5</v>
      </c>
      <c r="M13" s="117" t="s">
        <v>5</v>
      </c>
      <c r="N13" s="115" t="s">
        <v>6</v>
      </c>
      <c r="O13" s="115" t="s">
        <v>7</v>
      </c>
      <c r="P13" s="117" t="s">
        <v>5</v>
      </c>
      <c r="Q13" s="126" t="s">
        <v>356</v>
      </c>
      <c r="R13" s="115" t="s">
        <v>7</v>
      </c>
      <c r="S13" s="118" t="s">
        <v>8</v>
      </c>
      <c r="T13" s="115" t="s">
        <v>6</v>
      </c>
      <c r="U13" s="115" t="s">
        <v>7</v>
      </c>
      <c r="V13" s="126" t="s">
        <v>356</v>
      </c>
      <c r="W13" s="115" t="s">
        <v>7</v>
      </c>
      <c r="X13" s="116" t="s">
        <v>493</v>
      </c>
      <c r="Y13" s="120" t="s">
        <v>6</v>
      </c>
      <c r="Z13" s="120" t="s">
        <v>7</v>
      </c>
      <c r="AA13" s="124" t="s">
        <v>8</v>
      </c>
      <c r="AB13" s="120" t="s">
        <v>6</v>
      </c>
      <c r="AC13" s="120" t="s">
        <v>7</v>
      </c>
      <c r="AD13" s="124" t="s">
        <v>8</v>
      </c>
      <c r="AE13" s="119" t="s">
        <v>5</v>
      </c>
      <c r="AF13" s="119" t="s">
        <v>5</v>
      </c>
      <c r="AG13" s="124" t="s">
        <v>8</v>
      </c>
      <c r="AH13" s="120" t="s">
        <v>6</v>
      </c>
      <c r="AI13" s="41" t="s">
        <v>89</v>
      </c>
      <c r="AJ13" s="42"/>
    </row>
    <row r="14" spans="2:41" ht="66" customHeight="1" x14ac:dyDescent="0.2">
      <c r="B14" s="41" t="s">
        <v>90</v>
      </c>
      <c r="C14" s="42"/>
      <c r="D14" s="120" t="s">
        <v>7</v>
      </c>
      <c r="E14" s="117" t="s">
        <v>5</v>
      </c>
      <c r="F14" s="117" t="s">
        <v>5</v>
      </c>
      <c r="G14" s="115" t="s">
        <v>10</v>
      </c>
      <c r="H14" s="116" t="s">
        <v>494</v>
      </c>
      <c r="I14" s="116" t="s">
        <v>4</v>
      </c>
      <c r="J14" s="116" t="s">
        <v>4</v>
      </c>
      <c r="K14" s="32" t="s">
        <v>340</v>
      </c>
      <c r="L14" s="115" t="s">
        <v>10</v>
      </c>
      <c r="M14" s="115" t="s">
        <v>7</v>
      </c>
      <c r="N14" s="117" t="s">
        <v>5</v>
      </c>
      <c r="O14" s="115" t="s">
        <v>10</v>
      </c>
      <c r="P14" s="115" t="s">
        <v>7</v>
      </c>
      <c r="Q14" s="118" t="s">
        <v>4</v>
      </c>
      <c r="R14" s="116" t="s">
        <v>495</v>
      </c>
      <c r="S14" s="115" t="s">
        <v>7</v>
      </c>
      <c r="T14" s="116" t="s">
        <v>4</v>
      </c>
      <c r="U14" s="126" t="s">
        <v>357</v>
      </c>
      <c r="V14" s="115" t="s">
        <v>7</v>
      </c>
      <c r="W14" s="116" t="s">
        <v>4</v>
      </c>
      <c r="X14" s="117" t="s">
        <v>5</v>
      </c>
      <c r="Y14" s="116" t="s">
        <v>4</v>
      </c>
      <c r="Z14" s="117" t="s">
        <v>5</v>
      </c>
      <c r="AA14" s="115" t="s">
        <v>10</v>
      </c>
      <c r="AB14" s="116" t="s">
        <v>490</v>
      </c>
      <c r="AC14" s="118" t="s">
        <v>4</v>
      </c>
      <c r="AD14" s="116" t="s">
        <v>4</v>
      </c>
      <c r="AE14" s="117" t="s">
        <v>5</v>
      </c>
      <c r="AF14" s="117" t="s">
        <v>5</v>
      </c>
      <c r="AG14" s="120" t="s">
        <v>10</v>
      </c>
      <c r="AH14" s="120" t="s">
        <v>7</v>
      </c>
      <c r="AI14" s="41" t="s">
        <v>90</v>
      </c>
      <c r="AJ14" s="42"/>
    </row>
    <row r="15" spans="2:41" ht="59" customHeight="1" x14ac:dyDescent="0.2">
      <c r="B15" s="41" t="s">
        <v>91</v>
      </c>
      <c r="C15" s="42"/>
      <c r="D15" s="124" t="s">
        <v>4</v>
      </c>
      <c r="E15" s="120" t="s">
        <v>10</v>
      </c>
      <c r="F15" s="120" t="s">
        <v>7</v>
      </c>
      <c r="G15" s="124" t="s">
        <v>4</v>
      </c>
      <c r="H15" s="119" t="s">
        <v>5</v>
      </c>
      <c r="I15" s="120" t="s">
        <v>10</v>
      </c>
      <c r="J15" s="120" t="s">
        <v>7</v>
      </c>
      <c r="K15" s="123" t="s">
        <v>4</v>
      </c>
      <c r="L15" s="124" t="s">
        <v>4</v>
      </c>
      <c r="M15" s="119" t="s">
        <v>5</v>
      </c>
      <c r="N15" s="124" t="s">
        <v>4</v>
      </c>
      <c r="O15" s="124" t="s">
        <v>4</v>
      </c>
      <c r="P15" s="119" t="s">
        <v>5</v>
      </c>
      <c r="Q15" s="119" t="s">
        <v>5</v>
      </c>
      <c r="R15" s="134" t="s">
        <v>357</v>
      </c>
      <c r="S15" s="120" t="s">
        <v>7</v>
      </c>
      <c r="T15" s="120" t="s">
        <v>10</v>
      </c>
      <c r="U15" s="120" t="s">
        <v>7</v>
      </c>
      <c r="V15" s="120" t="s">
        <v>10</v>
      </c>
      <c r="W15" s="120" t="s">
        <v>7</v>
      </c>
      <c r="X15" s="120" t="s">
        <v>10</v>
      </c>
      <c r="Y15" s="120" t="s">
        <v>7</v>
      </c>
      <c r="Z15" s="124" t="s">
        <v>4</v>
      </c>
      <c r="AA15" s="124" t="s">
        <v>4</v>
      </c>
      <c r="AB15" s="117" t="s">
        <v>332</v>
      </c>
      <c r="AC15" s="117" t="s">
        <v>5</v>
      </c>
      <c r="AD15" s="117" t="s">
        <v>5</v>
      </c>
      <c r="AE15" s="124" t="s">
        <v>4</v>
      </c>
      <c r="AF15" s="124" t="s">
        <v>4</v>
      </c>
      <c r="AG15" s="123" t="s">
        <v>4</v>
      </c>
      <c r="AH15" s="120" t="s">
        <v>10</v>
      </c>
      <c r="AI15" s="41" t="s">
        <v>91</v>
      </c>
      <c r="AJ15" s="42"/>
    </row>
    <row r="16" spans="2:41" ht="59" customHeight="1" x14ac:dyDescent="0.2">
      <c r="B16" s="41" t="s">
        <v>92</v>
      </c>
      <c r="C16" s="42"/>
      <c r="D16" s="120" t="s">
        <v>10</v>
      </c>
      <c r="E16" s="120" t="s">
        <v>7</v>
      </c>
      <c r="F16" s="123" t="s">
        <v>4</v>
      </c>
      <c r="G16" s="119" t="s">
        <v>5</v>
      </c>
      <c r="H16" s="120" t="s">
        <v>10</v>
      </c>
      <c r="I16" s="120" t="s">
        <v>7</v>
      </c>
      <c r="J16" s="117" t="s">
        <v>5</v>
      </c>
      <c r="K16" s="117" t="s">
        <v>5</v>
      </c>
      <c r="L16" s="117" t="s">
        <v>5</v>
      </c>
      <c r="M16" s="116" t="s">
        <v>4</v>
      </c>
      <c r="N16" s="115" t="s">
        <v>10</v>
      </c>
      <c r="O16" s="115" t="s">
        <v>7</v>
      </c>
      <c r="P16" s="126" t="s">
        <v>357</v>
      </c>
      <c r="Q16" s="116" t="s">
        <v>347</v>
      </c>
      <c r="R16" s="116" t="s">
        <v>4</v>
      </c>
      <c r="S16" s="116" t="s">
        <v>4</v>
      </c>
      <c r="T16" s="117" t="s">
        <v>5</v>
      </c>
      <c r="U16" s="118" t="s">
        <v>4</v>
      </c>
      <c r="V16" s="116" t="s">
        <v>4</v>
      </c>
      <c r="W16" s="120" t="s">
        <v>10</v>
      </c>
      <c r="X16" s="120" t="s">
        <v>7</v>
      </c>
      <c r="Y16" s="124" t="s">
        <v>4</v>
      </c>
      <c r="Z16" s="32" t="s">
        <v>340</v>
      </c>
      <c r="AA16" s="119" t="s">
        <v>5</v>
      </c>
      <c r="AB16" s="124" t="s">
        <v>4</v>
      </c>
      <c r="AC16" s="120" t="s">
        <v>10</v>
      </c>
      <c r="AD16" s="120" t="s">
        <v>7</v>
      </c>
      <c r="AE16" s="120" t="s">
        <v>10</v>
      </c>
      <c r="AF16" s="120" t="s">
        <v>7</v>
      </c>
      <c r="AG16" s="119" t="s">
        <v>5</v>
      </c>
      <c r="AH16" s="124" t="s">
        <v>4</v>
      </c>
      <c r="AI16" s="41" t="s">
        <v>92</v>
      </c>
      <c r="AJ16" s="42"/>
    </row>
    <row r="17" spans="2:36" ht="87" customHeight="1" x14ac:dyDescent="0.2">
      <c r="B17" s="41" t="s">
        <v>11</v>
      </c>
      <c r="C17" s="42"/>
      <c r="D17" s="123" t="s">
        <v>4</v>
      </c>
      <c r="E17" s="124" t="s">
        <v>4</v>
      </c>
      <c r="F17" s="119" t="s">
        <v>5</v>
      </c>
      <c r="G17" s="119" t="s">
        <v>5</v>
      </c>
      <c r="H17" s="123" t="s">
        <v>4</v>
      </c>
      <c r="I17" s="119" t="s">
        <v>5</v>
      </c>
      <c r="J17" s="117" t="s">
        <v>5</v>
      </c>
      <c r="K17" s="115" t="s">
        <v>10</v>
      </c>
      <c r="L17" s="115" t="s">
        <v>7</v>
      </c>
      <c r="M17" s="115" t="s">
        <v>10</v>
      </c>
      <c r="N17" s="115" t="s">
        <v>7</v>
      </c>
      <c r="O17" s="116" t="s">
        <v>4</v>
      </c>
      <c r="P17" s="32" t="s">
        <v>340</v>
      </c>
      <c r="Q17" s="115" t="s">
        <v>10</v>
      </c>
      <c r="R17" s="115" t="s">
        <v>7</v>
      </c>
      <c r="S17" s="115" t="s">
        <v>10</v>
      </c>
      <c r="T17" s="115" t="s">
        <v>7</v>
      </c>
      <c r="U17" s="117" t="s">
        <v>5</v>
      </c>
      <c r="V17" s="117" t="s">
        <v>5</v>
      </c>
      <c r="W17" s="116" t="s">
        <v>4</v>
      </c>
      <c r="X17" s="116" t="s">
        <v>4</v>
      </c>
      <c r="Y17" s="115" t="s">
        <v>10</v>
      </c>
      <c r="Z17" s="116" t="s">
        <v>347</v>
      </c>
      <c r="AA17" s="115" t="s">
        <v>449</v>
      </c>
      <c r="AB17" s="115" t="s">
        <v>363</v>
      </c>
      <c r="AC17" s="115" t="s">
        <v>496</v>
      </c>
      <c r="AD17" s="115" t="s">
        <v>10</v>
      </c>
      <c r="AE17" s="120" t="s">
        <v>7</v>
      </c>
      <c r="AF17" s="134" t="s">
        <v>357</v>
      </c>
      <c r="AG17" s="120" t="s">
        <v>7</v>
      </c>
      <c r="AH17" s="119" t="s">
        <v>5</v>
      </c>
      <c r="AI17" s="41" t="s">
        <v>11</v>
      </c>
      <c r="AJ17" s="42"/>
    </row>
    <row r="18" spans="2:36" ht="74" customHeight="1" x14ac:dyDescent="0.2">
      <c r="B18" s="41" t="s">
        <v>93</v>
      </c>
      <c r="C18" s="42"/>
      <c r="D18" s="150"/>
      <c r="E18" s="150"/>
      <c r="F18" s="120" t="s">
        <v>445</v>
      </c>
      <c r="G18" s="120" t="s">
        <v>7</v>
      </c>
      <c r="H18" s="150"/>
      <c r="I18" s="150"/>
      <c r="J18" s="120" t="s">
        <v>445</v>
      </c>
      <c r="K18" s="120" t="s">
        <v>7</v>
      </c>
      <c r="L18" s="150"/>
      <c r="M18" s="150"/>
      <c r="N18" s="150"/>
      <c r="O18" s="150"/>
      <c r="P18" s="151"/>
      <c r="Q18" s="150"/>
      <c r="R18" s="150"/>
      <c r="S18" s="150"/>
      <c r="T18" s="150"/>
      <c r="U18" s="150"/>
      <c r="V18" s="150"/>
      <c r="W18" s="150"/>
      <c r="X18" s="150"/>
      <c r="Y18" s="150"/>
      <c r="Z18" s="120" t="s">
        <v>446</v>
      </c>
      <c r="AA18" s="120" t="s">
        <v>7</v>
      </c>
      <c r="AB18" s="120" t="s">
        <v>446</v>
      </c>
      <c r="AC18" s="120" t="s">
        <v>7</v>
      </c>
      <c r="AD18" s="150"/>
      <c r="AE18" s="150"/>
      <c r="AF18" s="150"/>
      <c r="AG18" s="150"/>
      <c r="AH18" s="150"/>
      <c r="AI18" s="41" t="s">
        <v>93</v>
      </c>
      <c r="AJ18" s="42"/>
    </row>
    <row r="19" spans="2:36" ht="60" customHeight="1" thickBot="1" x14ac:dyDescent="0.25">
      <c r="B19" s="41" t="s">
        <v>450</v>
      </c>
      <c r="C19" s="42"/>
      <c r="D19" s="36" t="s">
        <v>4</v>
      </c>
      <c r="E19" s="107" t="s">
        <v>4</v>
      </c>
      <c r="F19" s="107" t="s">
        <v>368</v>
      </c>
      <c r="G19" s="107" t="s">
        <v>366</v>
      </c>
      <c r="H19" s="107" t="s">
        <v>366</v>
      </c>
      <c r="I19" s="107" t="s">
        <v>4</v>
      </c>
      <c r="J19" s="36" t="s">
        <v>4</v>
      </c>
      <c r="K19" s="36" t="s">
        <v>4</v>
      </c>
      <c r="L19" s="107" t="s">
        <v>4</v>
      </c>
      <c r="M19" s="107" t="s">
        <v>4</v>
      </c>
      <c r="N19" s="36" t="s">
        <v>366</v>
      </c>
      <c r="O19" s="36" t="s">
        <v>366</v>
      </c>
      <c r="P19" s="36" t="s">
        <v>451</v>
      </c>
      <c r="Q19" s="108" t="s">
        <v>4</v>
      </c>
      <c r="R19" s="36" t="s">
        <v>4</v>
      </c>
      <c r="S19" s="107" t="s">
        <v>4</v>
      </c>
      <c r="T19" s="107" t="s">
        <v>368</v>
      </c>
      <c r="U19" s="36" t="s">
        <v>366</v>
      </c>
      <c r="V19" s="36" t="s">
        <v>366</v>
      </c>
      <c r="W19" s="36" t="s">
        <v>452</v>
      </c>
      <c r="X19" s="36" t="s">
        <v>4</v>
      </c>
      <c r="Y19" s="36" t="s">
        <v>4</v>
      </c>
      <c r="Z19" s="107" t="s">
        <v>4</v>
      </c>
      <c r="AA19" s="107" t="s">
        <v>4</v>
      </c>
      <c r="AB19" s="107" t="s">
        <v>366</v>
      </c>
      <c r="AC19" s="36" t="s">
        <v>453</v>
      </c>
      <c r="AD19" s="36" t="s">
        <v>4</v>
      </c>
      <c r="AE19" s="36" t="s">
        <v>4</v>
      </c>
      <c r="AF19" s="36" t="s">
        <v>4</v>
      </c>
      <c r="AG19" s="107" t="s">
        <v>4</v>
      </c>
      <c r="AH19" s="107" t="s">
        <v>497</v>
      </c>
      <c r="AI19" s="41" t="s">
        <v>450</v>
      </c>
      <c r="AJ19" s="42"/>
    </row>
    <row r="20" spans="2:36" ht="18.5" x14ac:dyDescent="0.2">
      <c r="B20" s="230" t="s">
        <v>77</v>
      </c>
      <c r="C20" s="233" t="s">
        <v>78</v>
      </c>
      <c r="D20" s="52" t="s">
        <v>1</v>
      </c>
      <c r="E20" s="54"/>
      <c r="F20" s="54"/>
      <c r="G20" s="54" t="s">
        <v>130</v>
      </c>
      <c r="H20" s="54" t="s">
        <v>142</v>
      </c>
      <c r="I20" s="54"/>
      <c r="J20" s="52"/>
      <c r="K20" s="52"/>
      <c r="L20" s="54"/>
      <c r="M20" s="54"/>
      <c r="N20" s="54" t="s">
        <v>158</v>
      </c>
      <c r="O20" s="52" t="s">
        <v>170</v>
      </c>
      <c r="P20" s="52"/>
      <c r="Q20" s="54"/>
      <c r="R20" s="54"/>
      <c r="S20" s="54"/>
      <c r="T20" s="54"/>
      <c r="U20" s="52" t="s">
        <v>111</v>
      </c>
      <c r="V20" s="54" t="s">
        <v>183</v>
      </c>
      <c r="W20" s="53" t="s">
        <v>121</v>
      </c>
      <c r="X20" s="54"/>
      <c r="Y20" s="54"/>
      <c r="Z20" s="54"/>
      <c r="AA20" s="54"/>
      <c r="AB20" s="54" t="s">
        <v>183</v>
      </c>
      <c r="AC20" s="52" t="s">
        <v>158</v>
      </c>
      <c r="AD20" s="52"/>
      <c r="AE20" s="52"/>
      <c r="AF20" s="54"/>
      <c r="AG20" s="54"/>
      <c r="AH20" s="54"/>
      <c r="AI20" s="235" t="s">
        <v>78</v>
      </c>
      <c r="AJ20" s="237" t="s">
        <v>77</v>
      </c>
    </row>
    <row r="21" spans="2:36" ht="18.5" x14ac:dyDescent="0.2">
      <c r="B21" s="231"/>
      <c r="C21" s="234"/>
      <c r="D21" s="55" t="s">
        <v>1</v>
      </c>
      <c r="E21" s="57" t="s">
        <v>1</v>
      </c>
      <c r="F21" s="57" t="s">
        <v>1</v>
      </c>
      <c r="G21" s="57" t="s">
        <v>1</v>
      </c>
      <c r="H21" s="57" t="s">
        <v>1</v>
      </c>
      <c r="I21" s="57" t="s">
        <v>1</v>
      </c>
      <c r="J21" s="55" t="s">
        <v>1</v>
      </c>
      <c r="K21" s="55" t="s">
        <v>1</v>
      </c>
      <c r="L21" s="57" t="s">
        <v>1</v>
      </c>
      <c r="M21" s="57" t="s">
        <v>1</v>
      </c>
      <c r="N21" s="57" t="s">
        <v>1</v>
      </c>
      <c r="O21" s="55" t="s">
        <v>1</v>
      </c>
      <c r="P21" s="55" t="s">
        <v>1</v>
      </c>
      <c r="Q21" s="55" t="s">
        <v>1</v>
      </c>
      <c r="R21" s="57" t="s">
        <v>1</v>
      </c>
      <c r="S21" s="57" t="s">
        <v>1</v>
      </c>
      <c r="T21" s="57" t="s">
        <v>1</v>
      </c>
      <c r="U21" s="57" t="s">
        <v>1</v>
      </c>
      <c r="V21" s="57" t="s">
        <v>1</v>
      </c>
      <c r="W21" s="56" t="s">
        <v>1</v>
      </c>
      <c r="X21" s="57" t="s">
        <v>1</v>
      </c>
      <c r="Y21" s="57" t="s">
        <v>1</v>
      </c>
      <c r="Z21" s="57" t="s">
        <v>1</v>
      </c>
      <c r="AA21" s="57" t="s">
        <v>1</v>
      </c>
      <c r="AB21" s="57" t="s">
        <v>1</v>
      </c>
      <c r="AC21" s="57" t="s">
        <v>1</v>
      </c>
      <c r="AD21" s="57" t="s">
        <v>1</v>
      </c>
      <c r="AE21" s="57" t="s">
        <v>1</v>
      </c>
      <c r="AF21" s="57" t="s">
        <v>1</v>
      </c>
      <c r="AG21" s="57" t="s">
        <v>1</v>
      </c>
      <c r="AH21" s="57"/>
      <c r="AI21" s="236"/>
      <c r="AJ21" s="238"/>
    </row>
    <row r="22" spans="2:36" ht="18.5" x14ac:dyDescent="0.2">
      <c r="B22" s="231"/>
      <c r="C22" s="240" t="s">
        <v>79</v>
      </c>
      <c r="D22" s="58" t="s">
        <v>142</v>
      </c>
      <c r="E22" s="109" t="s">
        <v>468</v>
      </c>
      <c r="F22" s="109" t="s">
        <v>121</v>
      </c>
      <c r="G22" s="109" t="s">
        <v>130</v>
      </c>
      <c r="H22" s="109" t="s">
        <v>142</v>
      </c>
      <c r="I22" s="109" t="s">
        <v>170</v>
      </c>
      <c r="J22" s="58" t="s">
        <v>111</v>
      </c>
      <c r="K22" s="58" t="s">
        <v>183</v>
      </c>
      <c r="L22" s="109" t="s">
        <v>413</v>
      </c>
      <c r="M22" s="109" t="s">
        <v>142</v>
      </c>
      <c r="N22" s="109" t="s">
        <v>158</v>
      </c>
      <c r="O22" s="58" t="s">
        <v>170</v>
      </c>
      <c r="P22" s="58" t="s">
        <v>121</v>
      </c>
      <c r="Q22" s="58" t="s">
        <v>111</v>
      </c>
      <c r="R22" s="109" t="s">
        <v>142</v>
      </c>
      <c r="S22" s="109" t="s">
        <v>468</v>
      </c>
      <c r="T22" s="109" t="s">
        <v>121</v>
      </c>
      <c r="U22" s="109" t="s">
        <v>111</v>
      </c>
      <c r="V22" s="109" t="s">
        <v>183</v>
      </c>
      <c r="W22" s="109" t="s">
        <v>121</v>
      </c>
      <c r="X22" s="109" t="s">
        <v>158</v>
      </c>
      <c r="Y22" s="109" t="s">
        <v>121</v>
      </c>
      <c r="Z22" s="109" t="s">
        <v>461</v>
      </c>
      <c r="AA22" s="109" t="s">
        <v>170</v>
      </c>
      <c r="AB22" s="109" t="s">
        <v>183</v>
      </c>
      <c r="AC22" s="109" t="s">
        <v>158</v>
      </c>
      <c r="AD22" s="109" t="s">
        <v>170</v>
      </c>
      <c r="AE22" s="109" t="s">
        <v>111</v>
      </c>
      <c r="AF22" s="109" t="s">
        <v>183</v>
      </c>
      <c r="AG22" s="109" t="s">
        <v>468</v>
      </c>
      <c r="AH22" s="109" t="s">
        <v>158</v>
      </c>
      <c r="AI22" s="242" t="s">
        <v>79</v>
      </c>
      <c r="AJ22" s="238"/>
    </row>
    <row r="23" spans="2:36" ht="19" thickBot="1" x14ac:dyDescent="0.25">
      <c r="B23" s="232"/>
      <c r="C23" s="241"/>
      <c r="D23" s="59" t="s">
        <v>1</v>
      </c>
      <c r="E23" s="110" t="s">
        <v>1</v>
      </c>
      <c r="F23" s="110" t="s">
        <v>1</v>
      </c>
      <c r="G23" s="110" t="s">
        <v>1</v>
      </c>
      <c r="H23" s="110" t="s">
        <v>1</v>
      </c>
      <c r="I23" s="110" t="s">
        <v>1</v>
      </c>
      <c r="J23" s="59" t="s">
        <v>1</v>
      </c>
      <c r="K23" s="59" t="s">
        <v>1</v>
      </c>
      <c r="L23" s="110" t="s">
        <v>1</v>
      </c>
      <c r="M23" s="110" t="s">
        <v>1</v>
      </c>
      <c r="N23" s="110" t="s">
        <v>1</v>
      </c>
      <c r="O23" s="59" t="s">
        <v>1</v>
      </c>
      <c r="P23" s="59" t="s">
        <v>1</v>
      </c>
      <c r="Q23" s="59" t="s">
        <v>1</v>
      </c>
      <c r="R23" s="110" t="s">
        <v>1</v>
      </c>
      <c r="S23" s="110" t="s">
        <v>1</v>
      </c>
      <c r="T23" s="110" t="s">
        <v>1</v>
      </c>
      <c r="U23" s="110" t="s">
        <v>1</v>
      </c>
      <c r="V23" s="110" t="s">
        <v>1</v>
      </c>
      <c r="W23" s="110" t="s">
        <v>1</v>
      </c>
      <c r="X23" s="110" t="s">
        <v>1</v>
      </c>
      <c r="Y23" s="110" t="s">
        <v>1</v>
      </c>
      <c r="Z23" s="110" t="s">
        <v>1</v>
      </c>
      <c r="AA23" s="110" t="s">
        <v>1</v>
      </c>
      <c r="AB23" s="110" t="s">
        <v>1</v>
      </c>
      <c r="AC23" s="110" t="s">
        <v>1</v>
      </c>
      <c r="AD23" s="110" t="s">
        <v>1</v>
      </c>
      <c r="AE23" s="110" t="s">
        <v>1</v>
      </c>
      <c r="AF23" s="110" t="s">
        <v>1</v>
      </c>
      <c r="AG23" s="110" t="s">
        <v>1</v>
      </c>
      <c r="AH23" s="110"/>
      <c r="AI23" s="243"/>
      <c r="AJ23" s="239"/>
    </row>
    <row r="24" spans="2:36" ht="18.5" x14ac:dyDescent="0.2">
      <c r="B24" s="230" t="s">
        <v>80</v>
      </c>
      <c r="C24" s="233" t="s">
        <v>78</v>
      </c>
      <c r="D24" s="60" t="s">
        <v>1</v>
      </c>
      <c r="E24" s="54"/>
      <c r="F24" s="54"/>
      <c r="G24" s="54" t="s">
        <v>16</v>
      </c>
      <c r="H24" s="54" t="s">
        <v>15</v>
      </c>
      <c r="I24" s="54"/>
      <c r="J24" s="52"/>
      <c r="K24" s="52"/>
      <c r="L24" s="54"/>
      <c r="M24" s="54"/>
      <c r="N24" s="54" t="s">
        <v>17</v>
      </c>
      <c r="O24" s="52" t="s">
        <v>15</v>
      </c>
      <c r="P24" s="52"/>
      <c r="Q24" s="54"/>
      <c r="R24" s="54"/>
      <c r="S24" s="54"/>
      <c r="T24" s="54"/>
      <c r="U24" s="52" t="s">
        <v>18</v>
      </c>
      <c r="V24" s="54" t="s">
        <v>18</v>
      </c>
      <c r="W24" s="53" t="s">
        <v>17</v>
      </c>
      <c r="X24" s="54"/>
      <c r="Y24" s="54"/>
      <c r="Z24" s="54"/>
      <c r="AA24" s="54"/>
      <c r="AB24" s="54" t="s">
        <v>15</v>
      </c>
      <c r="AC24" s="52" t="s">
        <v>18</v>
      </c>
      <c r="AD24" s="52"/>
      <c r="AE24" s="52"/>
      <c r="AF24" s="54"/>
      <c r="AG24" s="54"/>
      <c r="AH24" s="54"/>
      <c r="AI24" s="235" t="s">
        <v>78</v>
      </c>
      <c r="AJ24" s="237" t="s">
        <v>80</v>
      </c>
    </row>
    <row r="25" spans="2:36" ht="18.5" x14ac:dyDescent="0.2">
      <c r="B25" s="231"/>
      <c r="C25" s="234"/>
      <c r="D25" s="55" t="s">
        <v>1</v>
      </c>
      <c r="E25" s="57"/>
      <c r="F25" s="57"/>
      <c r="G25" s="57"/>
      <c r="H25" s="57"/>
      <c r="I25" s="57"/>
      <c r="J25" s="55"/>
      <c r="K25" s="55"/>
      <c r="L25" s="57"/>
      <c r="M25" s="57"/>
      <c r="N25" s="57"/>
      <c r="O25" s="55"/>
      <c r="P25" s="55"/>
      <c r="Q25" s="55"/>
      <c r="R25" s="57"/>
      <c r="S25" s="57"/>
      <c r="T25" s="57"/>
      <c r="U25" s="55"/>
      <c r="V25" s="57"/>
      <c r="W25" s="56" t="s">
        <v>16</v>
      </c>
      <c r="X25" s="57"/>
      <c r="Y25" s="57"/>
      <c r="Z25" s="57"/>
      <c r="AA25" s="57"/>
      <c r="AB25" s="57"/>
      <c r="AC25" s="55"/>
      <c r="AD25" s="57"/>
      <c r="AE25" s="57"/>
      <c r="AF25" s="57"/>
      <c r="AG25" s="57"/>
      <c r="AH25" s="57"/>
      <c r="AI25" s="236"/>
      <c r="AJ25" s="238"/>
    </row>
    <row r="26" spans="2:36" ht="18.5" x14ac:dyDescent="0.2">
      <c r="B26" s="231"/>
      <c r="C26" s="240" t="s">
        <v>79</v>
      </c>
      <c r="D26" s="60" t="s">
        <v>15</v>
      </c>
      <c r="E26" s="62" t="s">
        <v>17</v>
      </c>
      <c r="F26" s="62" t="s">
        <v>18</v>
      </c>
      <c r="G26" s="62" t="s">
        <v>16</v>
      </c>
      <c r="H26" s="62" t="s">
        <v>19</v>
      </c>
      <c r="I26" s="62" t="s">
        <v>17</v>
      </c>
      <c r="J26" s="60" t="s">
        <v>16</v>
      </c>
      <c r="K26" s="60" t="s">
        <v>18</v>
      </c>
      <c r="L26" s="62" t="s">
        <v>17</v>
      </c>
      <c r="M26" s="62" t="s">
        <v>15</v>
      </c>
      <c r="N26" s="62" t="s">
        <v>17</v>
      </c>
      <c r="O26" s="60" t="s">
        <v>19</v>
      </c>
      <c r="P26" s="60" t="s">
        <v>16</v>
      </c>
      <c r="Q26" s="60" t="s">
        <v>18</v>
      </c>
      <c r="R26" s="62" t="s">
        <v>15</v>
      </c>
      <c r="S26" s="62" t="s">
        <v>16</v>
      </c>
      <c r="T26" s="62" t="s">
        <v>17</v>
      </c>
      <c r="U26" s="62" t="s">
        <v>18</v>
      </c>
      <c r="V26" s="62" t="s">
        <v>19</v>
      </c>
      <c r="W26" s="62" t="s">
        <v>17</v>
      </c>
      <c r="X26" s="62" t="s">
        <v>15</v>
      </c>
      <c r="Y26" s="62" t="s">
        <v>17</v>
      </c>
      <c r="Z26" s="62" t="s">
        <v>18</v>
      </c>
      <c r="AA26" s="62" t="s">
        <v>16</v>
      </c>
      <c r="AB26" s="62" t="s">
        <v>15</v>
      </c>
      <c r="AC26" s="62" t="s">
        <v>19</v>
      </c>
      <c r="AD26" s="62" t="s">
        <v>15</v>
      </c>
      <c r="AE26" s="62" t="s">
        <v>16</v>
      </c>
      <c r="AF26" s="62" t="s">
        <v>18</v>
      </c>
      <c r="AG26" s="62" t="s">
        <v>15</v>
      </c>
      <c r="AH26" s="62" t="s">
        <v>18</v>
      </c>
      <c r="AI26" s="242" t="s">
        <v>79</v>
      </c>
      <c r="AJ26" s="238"/>
    </row>
    <row r="27" spans="2:36" ht="19" thickBot="1" x14ac:dyDescent="0.25">
      <c r="B27" s="232"/>
      <c r="C27" s="241"/>
      <c r="D27" s="59" t="s">
        <v>20</v>
      </c>
      <c r="E27" s="110" t="s">
        <v>20</v>
      </c>
      <c r="F27" s="110"/>
      <c r="G27" s="110"/>
      <c r="H27" s="110"/>
      <c r="I27" s="110"/>
      <c r="J27" s="59" t="s">
        <v>20</v>
      </c>
      <c r="K27" s="59"/>
      <c r="L27" s="110" t="s">
        <v>20</v>
      </c>
      <c r="M27" s="110"/>
      <c r="N27" s="110"/>
      <c r="O27" s="59"/>
      <c r="P27" s="59"/>
      <c r="Q27" s="59" t="s">
        <v>20</v>
      </c>
      <c r="R27" s="110" t="s">
        <v>20</v>
      </c>
      <c r="S27" s="110" t="s">
        <v>20</v>
      </c>
      <c r="T27" s="110"/>
      <c r="U27" s="110"/>
      <c r="V27" s="110"/>
      <c r="W27" s="110" t="s">
        <v>16</v>
      </c>
      <c r="X27" s="110" t="s">
        <v>20</v>
      </c>
      <c r="Y27" s="110" t="s">
        <v>20</v>
      </c>
      <c r="Z27" s="110" t="s">
        <v>20</v>
      </c>
      <c r="AA27" s="110"/>
      <c r="AB27" s="110"/>
      <c r="AC27" s="110"/>
      <c r="AD27" s="110"/>
      <c r="AE27" s="110" t="s">
        <v>20</v>
      </c>
      <c r="AF27" s="110" t="s">
        <v>20</v>
      </c>
      <c r="AG27" s="110" t="s">
        <v>20</v>
      </c>
      <c r="AH27" s="110"/>
      <c r="AI27" s="243"/>
      <c r="AJ27" s="239"/>
    </row>
    <row r="28" spans="2:36" ht="23.5" customHeight="1" x14ac:dyDescent="0.2">
      <c r="B28" s="244" t="s">
        <v>81</v>
      </c>
      <c r="C28" s="233" t="s">
        <v>82</v>
      </c>
      <c r="D28" s="60" t="s">
        <v>1</v>
      </c>
      <c r="E28" s="62"/>
      <c r="F28" s="62"/>
      <c r="G28" s="62" t="s">
        <v>474</v>
      </c>
      <c r="H28" s="62" t="s">
        <v>475</v>
      </c>
      <c r="I28" s="62"/>
      <c r="J28" s="62"/>
      <c r="K28" s="62"/>
      <c r="L28" s="62"/>
      <c r="M28" s="62"/>
      <c r="N28" s="62" t="s">
        <v>474</v>
      </c>
      <c r="O28" s="62" t="s">
        <v>475</v>
      </c>
      <c r="P28" s="62"/>
      <c r="Q28" s="62"/>
      <c r="R28" s="62"/>
      <c r="S28" s="62"/>
      <c r="T28" s="62"/>
      <c r="U28" s="62" t="s">
        <v>476</v>
      </c>
      <c r="V28" s="62" t="s">
        <v>476</v>
      </c>
      <c r="W28" s="61" t="s">
        <v>475</v>
      </c>
      <c r="X28" s="62"/>
      <c r="Y28" s="62"/>
      <c r="Z28" s="62"/>
      <c r="AA28" s="62"/>
      <c r="AB28" s="54" t="s">
        <v>475</v>
      </c>
      <c r="AC28" s="54" t="s">
        <v>474</v>
      </c>
      <c r="AD28" s="62"/>
      <c r="AE28" s="62"/>
      <c r="AF28" s="54"/>
      <c r="AG28" s="62"/>
      <c r="AH28" s="62"/>
      <c r="AI28" s="235" t="s">
        <v>82</v>
      </c>
      <c r="AJ28" s="247" t="s">
        <v>81</v>
      </c>
    </row>
    <row r="29" spans="2:36" ht="23.5" customHeight="1" x14ac:dyDescent="0.2">
      <c r="B29" s="245"/>
      <c r="C29" s="234"/>
      <c r="D29" s="60" t="s">
        <v>1</v>
      </c>
      <c r="E29" s="62"/>
      <c r="F29" s="62"/>
      <c r="G29" s="62" t="s">
        <v>43</v>
      </c>
      <c r="H29" s="62" t="s">
        <v>281</v>
      </c>
      <c r="I29" s="62"/>
      <c r="J29" s="62"/>
      <c r="K29" s="62"/>
      <c r="L29" s="62"/>
      <c r="M29" s="62"/>
      <c r="N29" s="62" t="s">
        <v>271</v>
      </c>
      <c r="O29" s="62" t="s">
        <v>481</v>
      </c>
      <c r="P29" s="62"/>
      <c r="Q29" s="62"/>
      <c r="R29" s="62"/>
      <c r="S29" s="62"/>
      <c r="T29" s="62"/>
      <c r="U29" s="62" t="s">
        <v>480</v>
      </c>
      <c r="V29" s="62" t="s">
        <v>479</v>
      </c>
      <c r="W29" s="61" t="s">
        <v>477</v>
      </c>
      <c r="X29" s="62"/>
      <c r="Y29" s="62"/>
      <c r="Z29" s="62"/>
      <c r="AA29" s="62"/>
      <c r="AB29" s="62" t="s">
        <v>478</v>
      </c>
      <c r="AC29" s="62" t="s">
        <v>23</v>
      </c>
      <c r="AD29" s="62"/>
      <c r="AE29" s="62"/>
      <c r="AF29" s="63"/>
      <c r="AG29" s="62"/>
      <c r="AH29" s="62"/>
      <c r="AI29" s="236"/>
      <c r="AJ29" s="248"/>
    </row>
    <row r="30" spans="2:36" ht="23.5" customHeight="1" x14ac:dyDescent="0.2">
      <c r="B30" s="245"/>
      <c r="C30" s="250" t="s">
        <v>83</v>
      </c>
      <c r="D30" s="58" t="s">
        <v>1</v>
      </c>
      <c r="E30" s="109"/>
      <c r="F30" s="109"/>
      <c r="G30" s="109" t="s">
        <v>30</v>
      </c>
      <c r="H30" s="109" t="s">
        <v>29</v>
      </c>
      <c r="I30" s="109"/>
      <c r="J30" s="58"/>
      <c r="K30" s="58"/>
      <c r="L30" s="109"/>
      <c r="M30" s="109"/>
      <c r="N30" s="109" t="s">
        <v>53</v>
      </c>
      <c r="O30" s="58" t="s">
        <v>26</v>
      </c>
      <c r="P30" s="58"/>
      <c r="Q30" s="109"/>
      <c r="R30" s="109"/>
      <c r="S30" s="109"/>
      <c r="T30" s="109"/>
      <c r="U30" s="58" t="s">
        <v>28</v>
      </c>
      <c r="V30" s="109" t="s">
        <v>34</v>
      </c>
      <c r="W30" s="64" t="s">
        <v>112</v>
      </c>
      <c r="X30" s="109"/>
      <c r="Y30" s="109"/>
      <c r="Z30" s="109"/>
      <c r="AA30" s="109"/>
      <c r="AB30" s="109" t="s">
        <v>29</v>
      </c>
      <c r="AC30" s="58" t="s">
        <v>32</v>
      </c>
      <c r="AD30" s="58"/>
      <c r="AE30" s="58"/>
      <c r="AF30" s="109"/>
      <c r="AG30" s="109"/>
      <c r="AH30" s="142"/>
      <c r="AI30" s="252" t="s">
        <v>83</v>
      </c>
      <c r="AJ30" s="248"/>
    </row>
    <row r="31" spans="2:36" ht="23.5" customHeight="1" thickBot="1" x14ac:dyDescent="0.25">
      <c r="B31" s="246"/>
      <c r="C31" s="251"/>
      <c r="D31" s="66" t="s">
        <v>1</v>
      </c>
      <c r="E31" s="111"/>
      <c r="F31" s="111"/>
      <c r="G31" s="111" t="s">
        <v>457</v>
      </c>
      <c r="H31" s="111" t="s">
        <v>225</v>
      </c>
      <c r="I31" s="111"/>
      <c r="J31" s="66"/>
      <c r="K31" s="66"/>
      <c r="L31" s="111"/>
      <c r="M31" s="111"/>
      <c r="N31" s="111" t="s">
        <v>246</v>
      </c>
      <c r="O31" s="66" t="s">
        <v>35</v>
      </c>
      <c r="P31" s="66"/>
      <c r="Q31" s="111"/>
      <c r="R31" s="111"/>
      <c r="S31" s="111"/>
      <c r="T31" s="111"/>
      <c r="U31" s="66" t="s">
        <v>36</v>
      </c>
      <c r="V31" s="111" t="s">
        <v>40</v>
      </c>
      <c r="W31" s="67" t="s">
        <v>470</v>
      </c>
      <c r="X31" s="111"/>
      <c r="Y31" s="111"/>
      <c r="Z31" s="111"/>
      <c r="AA31" s="111"/>
      <c r="AB31" s="111" t="s">
        <v>37</v>
      </c>
      <c r="AC31" s="66" t="s">
        <v>401</v>
      </c>
      <c r="AD31" s="66"/>
      <c r="AE31" s="66"/>
      <c r="AF31" s="111"/>
      <c r="AG31" s="111"/>
      <c r="AH31" s="143"/>
      <c r="AI31" s="253"/>
      <c r="AJ31" s="249"/>
    </row>
    <row r="32" spans="2:36" ht="23.5" customHeight="1" x14ac:dyDescent="0.2">
      <c r="B32" s="254" t="s">
        <v>84</v>
      </c>
      <c r="C32" s="256" t="s">
        <v>82</v>
      </c>
      <c r="D32" s="62" t="s">
        <v>270</v>
      </c>
      <c r="E32" s="62" t="s">
        <v>270</v>
      </c>
      <c r="F32" s="62" t="s">
        <v>269</v>
      </c>
      <c r="G32" s="62" t="s">
        <v>270</v>
      </c>
      <c r="H32" s="60" t="s">
        <v>270</v>
      </c>
      <c r="I32" s="62" t="s">
        <v>270</v>
      </c>
      <c r="J32" s="62" t="s">
        <v>269</v>
      </c>
      <c r="K32" s="62" t="s">
        <v>269</v>
      </c>
      <c r="L32" s="62" t="s">
        <v>269</v>
      </c>
      <c r="M32" s="62" t="s">
        <v>270</v>
      </c>
      <c r="N32" s="62" t="s">
        <v>269</v>
      </c>
      <c r="O32" s="62" t="s">
        <v>270</v>
      </c>
      <c r="P32" s="60" t="s">
        <v>270</v>
      </c>
      <c r="Q32" s="62" t="s">
        <v>270</v>
      </c>
      <c r="R32" s="62" t="s">
        <v>269</v>
      </c>
      <c r="S32" s="62" t="s">
        <v>269</v>
      </c>
      <c r="T32" s="62" t="s">
        <v>269</v>
      </c>
      <c r="U32" s="62" t="s">
        <v>269</v>
      </c>
      <c r="V32" s="62" t="s">
        <v>270</v>
      </c>
      <c r="W32" s="62" t="s">
        <v>269</v>
      </c>
      <c r="X32" s="62" t="s">
        <v>270</v>
      </c>
      <c r="Y32" s="62" t="s">
        <v>269</v>
      </c>
      <c r="Z32" s="62" t="s">
        <v>270</v>
      </c>
      <c r="AA32" s="62" t="s">
        <v>270</v>
      </c>
      <c r="AB32" s="62" t="s">
        <v>270</v>
      </c>
      <c r="AC32" s="62" t="s">
        <v>270</v>
      </c>
      <c r="AD32" s="62" t="s">
        <v>269</v>
      </c>
      <c r="AE32" s="62" t="s">
        <v>270</v>
      </c>
      <c r="AF32" s="62" t="s">
        <v>269</v>
      </c>
      <c r="AG32" s="62" t="s">
        <v>270</v>
      </c>
      <c r="AH32" s="62" t="s">
        <v>270</v>
      </c>
      <c r="AI32" s="258" t="s">
        <v>82</v>
      </c>
      <c r="AJ32" s="260" t="s">
        <v>84</v>
      </c>
    </row>
    <row r="33" spans="2:36" ht="23.5" customHeight="1" x14ac:dyDescent="0.2">
      <c r="B33" s="254"/>
      <c r="C33" s="257"/>
      <c r="D33" s="70" t="s">
        <v>41</v>
      </c>
      <c r="E33" s="63" t="s">
        <v>271</v>
      </c>
      <c r="F33" s="63" t="s">
        <v>275</v>
      </c>
      <c r="G33" s="63" t="s">
        <v>22</v>
      </c>
      <c r="H33" s="63" t="s">
        <v>42</v>
      </c>
      <c r="I33" s="71" t="s">
        <v>41</v>
      </c>
      <c r="J33" s="71" t="s">
        <v>280</v>
      </c>
      <c r="K33" s="71" t="s">
        <v>278</v>
      </c>
      <c r="L33" s="63" t="s">
        <v>471</v>
      </c>
      <c r="M33" s="63" t="s">
        <v>24</v>
      </c>
      <c r="N33" s="63" t="s">
        <v>414</v>
      </c>
      <c r="O33" s="71" t="s">
        <v>472</v>
      </c>
      <c r="P33" s="71" t="s">
        <v>473</v>
      </c>
      <c r="Q33" s="71" t="s">
        <v>21</v>
      </c>
      <c r="R33" s="63" t="s">
        <v>276</v>
      </c>
      <c r="S33" s="63" t="s">
        <v>275</v>
      </c>
      <c r="T33" s="63" t="s">
        <v>281</v>
      </c>
      <c r="U33" s="63" t="s">
        <v>212</v>
      </c>
      <c r="V33" s="63" t="s">
        <v>473</v>
      </c>
      <c r="W33" s="63" t="s">
        <v>415</v>
      </c>
      <c r="X33" s="63" t="s">
        <v>43</v>
      </c>
      <c r="Y33" s="63" t="s">
        <v>274</v>
      </c>
      <c r="Z33" s="63" t="s">
        <v>472</v>
      </c>
      <c r="AA33" s="63" t="s">
        <v>271</v>
      </c>
      <c r="AB33" s="63" t="s">
        <v>42</v>
      </c>
      <c r="AC33" s="63" t="s">
        <v>21</v>
      </c>
      <c r="AD33" s="63" t="s">
        <v>212</v>
      </c>
      <c r="AE33" s="63" t="s">
        <v>22</v>
      </c>
      <c r="AF33" s="63" t="s">
        <v>279</v>
      </c>
      <c r="AG33" s="63" t="s">
        <v>472</v>
      </c>
      <c r="AH33" s="144" t="s">
        <v>23</v>
      </c>
      <c r="AI33" s="259"/>
      <c r="AJ33" s="260"/>
    </row>
    <row r="34" spans="2:36" ht="23.5" customHeight="1" x14ac:dyDescent="0.2">
      <c r="B34" s="254"/>
      <c r="C34" s="256" t="s">
        <v>83</v>
      </c>
      <c r="D34" s="69" t="s">
        <v>29</v>
      </c>
      <c r="E34" s="62" t="s">
        <v>27</v>
      </c>
      <c r="F34" s="62" t="s">
        <v>51</v>
      </c>
      <c r="G34" s="62" t="s">
        <v>49</v>
      </c>
      <c r="H34" s="62" t="s">
        <v>54</v>
      </c>
      <c r="I34" s="60" t="s">
        <v>50</v>
      </c>
      <c r="J34" s="60" t="s">
        <v>49</v>
      </c>
      <c r="K34" s="60" t="s">
        <v>383</v>
      </c>
      <c r="L34" s="62" t="s">
        <v>33</v>
      </c>
      <c r="M34" s="62" t="s">
        <v>50</v>
      </c>
      <c r="N34" s="62" t="s">
        <v>30</v>
      </c>
      <c r="O34" s="60" t="s">
        <v>46</v>
      </c>
      <c r="P34" s="60" t="s">
        <v>112</v>
      </c>
      <c r="Q34" s="60" t="s">
        <v>29</v>
      </c>
      <c r="R34" s="62" t="s">
        <v>47</v>
      </c>
      <c r="S34" s="62" t="s">
        <v>50</v>
      </c>
      <c r="T34" s="62" t="s">
        <v>45</v>
      </c>
      <c r="U34" s="62" t="s">
        <v>26</v>
      </c>
      <c r="V34" s="62" t="s">
        <v>33</v>
      </c>
      <c r="W34" s="62" t="s">
        <v>29</v>
      </c>
      <c r="X34" s="62" t="s">
        <v>28</v>
      </c>
      <c r="Y34" s="62" t="s">
        <v>26</v>
      </c>
      <c r="Z34" s="62" t="s">
        <v>52</v>
      </c>
      <c r="AA34" s="62" t="s">
        <v>30</v>
      </c>
      <c r="AB34" s="62" t="s">
        <v>52</v>
      </c>
      <c r="AC34" s="62" t="s">
        <v>49</v>
      </c>
      <c r="AD34" s="62" t="s">
        <v>112</v>
      </c>
      <c r="AE34" s="62" t="s">
        <v>51</v>
      </c>
      <c r="AF34" s="62" t="s">
        <v>28</v>
      </c>
      <c r="AG34" s="62" t="s">
        <v>27</v>
      </c>
      <c r="AH34" s="145" t="s">
        <v>28</v>
      </c>
      <c r="AI34" s="258" t="s">
        <v>83</v>
      </c>
      <c r="AJ34" s="260"/>
    </row>
    <row r="35" spans="2:36" ht="23.5" customHeight="1" thickBot="1" x14ac:dyDescent="0.25">
      <c r="B35" s="255"/>
      <c r="C35" s="241"/>
      <c r="D35" s="73" t="s">
        <v>60</v>
      </c>
      <c r="E35" s="111" t="s">
        <v>159</v>
      </c>
      <c r="F35" s="111" t="s">
        <v>62</v>
      </c>
      <c r="G35" s="111" t="s">
        <v>61</v>
      </c>
      <c r="H35" s="111" t="s">
        <v>458</v>
      </c>
      <c r="I35" s="66" t="s">
        <v>64</v>
      </c>
      <c r="J35" s="66" t="s">
        <v>469</v>
      </c>
      <c r="K35" s="66" t="s">
        <v>387</v>
      </c>
      <c r="L35" s="111" t="s">
        <v>179</v>
      </c>
      <c r="M35" s="111" t="s">
        <v>222</v>
      </c>
      <c r="N35" s="111" t="s">
        <v>174</v>
      </c>
      <c r="O35" s="66" t="s">
        <v>232</v>
      </c>
      <c r="P35" s="66" t="s">
        <v>203</v>
      </c>
      <c r="Q35" s="66" t="s">
        <v>59</v>
      </c>
      <c r="R35" s="111" t="s">
        <v>57</v>
      </c>
      <c r="S35" s="111" t="s">
        <v>127</v>
      </c>
      <c r="T35" s="111" t="s">
        <v>41</v>
      </c>
      <c r="U35" s="111" t="s">
        <v>265</v>
      </c>
      <c r="V35" s="111" t="s">
        <v>266</v>
      </c>
      <c r="W35" s="111" t="s">
        <v>391</v>
      </c>
      <c r="X35" s="111" t="s">
        <v>400</v>
      </c>
      <c r="Y35" s="111" t="s">
        <v>194</v>
      </c>
      <c r="Z35" s="111" t="s">
        <v>390</v>
      </c>
      <c r="AA35" s="111" t="s">
        <v>175</v>
      </c>
      <c r="AB35" s="111" t="s">
        <v>268</v>
      </c>
      <c r="AC35" s="111" t="s">
        <v>402</v>
      </c>
      <c r="AD35" s="111" t="s">
        <v>226</v>
      </c>
      <c r="AE35" s="111" t="s">
        <v>398</v>
      </c>
      <c r="AF35" s="111" t="s">
        <v>460</v>
      </c>
      <c r="AG35" s="111" t="s">
        <v>136</v>
      </c>
      <c r="AH35" s="146" t="s">
        <v>63</v>
      </c>
      <c r="AI35" s="243"/>
      <c r="AJ35" s="261"/>
    </row>
    <row r="36" spans="2:36" ht="23" customHeight="1" x14ac:dyDescent="0.2">
      <c r="B36" s="230" t="s">
        <v>67</v>
      </c>
      <c r="C36" s="233" t="s">
        <v>12</v>
      </c>
      <c r="D36" s="62"/>
      <c r="E36" s="62"/>
      <c r="F36" s="62"/>
      <c r="G36" s="62" t="s">
        <v>373</v>
      </c>
      <c r="H36" s="62" t="s">
        <v>307</v>
      </c>
      <c r="I36" s="62"/>
      <c r="J36" s="54"/>
      <c r="K36" s="54"/>
      <c r="L36" s="62"/>
      <c r="M36" s="62"/>
      <c r="N36" s="54" t="s">
        <v>73</v>
      </c>
      <c r="O36" s="54" t="s">
        <v>307</v>
      </c>
      <c r="P36" s="54"/>
      <c r="Q36" s="54"/>
      <c r="R36" s="54"/>
      <c r="S36" s="62"/>
      <c r="T36" s="62"/>
      <c r="U36" s="54" t="s">
        <v>371</v>
      </c>
      <c r="V36" s="54" t="s">
        <v>369</v>
      </c>
      <c r="W36" s="53" t="s">
        <v>74</v>
      </c>
      <c r="X36" s="54"/>
      <c r="Y36" s="54"/>
      <c r="Z36" s="62"/>
      <c r="AA36" s="62"/>
      <c r="AB36" s="54" t="s">
        <v>370</v>
      </c>
      <c r="AC36" s="54" t="s">
        <v>307</v>
      </c>
      <c r="AD36" s="54"/>
      <c r="AE36" s="54"/>
      <c r="AF36" s="54"/>
      <c r="AG36" s="62"/>
      <c r="AH36" s="62"/>
      <c r="AI36" s="235" t="s">
        <v>12</v>
      </c>
      <c r="AJ36" s="237" t="s">
        <v>67</v>
      </c>
    </row>
    <row r="37" spans="2:36" ht="23" customHeight="1" x14ac:dyDescent="0.2">
      <c r="B37" s="231"/>
      <c r="C37" s="234"/>
      <c r="D37" s="57"/>
      <c r="E37" s="57"/>
      <c r="F37" s="57"/>
      <c r="G37" s="112"/>
      <c r="H37" s="57" t="s">
        <v>376</v>
      </c>
      <c r="I37" s="112"/>
      <c r="J37" s="57"/>
      <c r="K37" s="57"/>
      <c r="L37" s="57"/>
      <c r="M37" s="57"/>
      <c r="N37" s="57"/>
      <c r="O37" s="57" t="s">
        <v>381</v>
      </c>
      <c r="P37" s="57"/>
      <c r="Q37" s="57"/>
      <c r="R37" s="57"/>
      <c r="S37" s="112"/>
      <c r="T37" s="57"/>
      <c r="U37" s="57"/>
      <c r="V37" s="57"/>
      <c r="W37" s="56"/>
      <c r="X37" s="57"/>
      <c r="Y37" s="57"/>
      <c r="Z37" s="112"/>
      <c r="AA37" s="57"/>
      <c r="AB37" s="57"/>
      <c r="AC37" s="57" t="s">
        <v>376</v>
      </c>
      <c r="AD37" s="57"/>
      <c r="AE37" s="57"/>
      <c r="AF37" s="57"/>
      <c r="AG37" s="112"/>
      <c r="AH37" s="57"/>
      <c r="AI37" s="236"/>
      <c r="AJ37" s="238"/>
    </row>
    <row r="38" spans="2:36" ht="23" customHeight="1" x14ac:dyDescent="0.2">
      <c r="B38" s="231"/>
      <c r="C38" s="240" t="s">
        <v>14</v>
      </c>
      <c r="D38" s="113" t="s">
        <v>369</v>
      </c>
      <c r="E38" s="113" t="s">
        <v>307</v>
      </c>
      <c r="F38" s="113" t="s">
        <v>372</v>
      </c>
      <c r="G38" s="113" t="s">
        <v>373</v>
      </c>
      <c r="H38" s="113" t="s">
        <v>307</v>
      </c>
      <c r="I38" s="114" t="s">
        <v>373</v>
      </c>
      <c r="J38" s="113" t="s">
        <v>74</v>
      </c>
      <c r="K38" s="113" t="s">
        <v>370</v>
      </c>
      <c r="L38" s="113" t="s">
        <v>307</v>
      </c>
      <c r="M38" s="113" t="s">
        <v>36</v>
      </c>
      <c r="N38" s="113" t="s">
        <v>73</v>
      </c>
      <c r="O38" s="113" t="s">
        <v>307</v>
      </c>
      <c r="P38" s="113" t="s">
        <v>370</v>
      </c>
      <c r="Q38" s="114" t="s">
        <v>74</v>
      </c>
      <c r="R38" s="113" t="s">
        <v>36</v>
      </c>
      <c r="S38" s="113" t="s">
        <v>307</v>
      </c>
      <c r="T38" s="113" t="s">
        <v>370</v>
      </c>
      <c r="U38" s="113" t="s">
        <v>371</v>
      </c>
      <c r="V38" s="113" t="s">
        <v>369</v>
      </c>
      <c r="W38" s="113" t="s">
        <v>307</v>
      </c>
      <c r="X38" s="113" t="s">
        <v>36</v>
      </c>
      <c r="Y38" s="113" t="s">
        <v>369</v>
      </c>
      <c r="Z38" s="113" t="s">
        <v>307</v>
      </c>
      <c r="AA38" s="113" t="s">
        <v>371</v>
      </c>
      <c r="AB38" s="113" t="s">
        <v>370</v>
      </c>
      <c r="AC38" s="113" t="s">
        <v>307</v>
      </c>
      <c r="AD38" s="113" t="s">
        <v>369</v>
      </c>
      <c r="AE38" s="113" t="s">
        <v>74</v>
      </c>
      <c r="AF38" s="113" t="s">
        <v>373</v>
      </c>
      <c r="AG38" s="113" t="s">
        <v>307</v>
      </c>
      <c r="AH38" s="113" t="s">
        <v>372</v>
      </c>
      <c r="AI38" s="242" t="s">
        <v>14</v>
      </c>
      <c r="AJ38" s="238"/>
    </row>
    <row r="39" spans="2:36" ht="23" customHeight="1" thickBot="1" x14ac:dyDescent="0.25">
      <c r="B39" s="232"/>
      <c r="C39" s="241"/>
      <c r="D39" s="78"/>
      <c r="E39" s="79" t="s">
        <v>379</v>
      </c>
      <c r="F39" s="80"/>
      <c r="G39" s="78"/>
      <c r="H39" s="80" t="s">
        <v>376</v>
      </c>
      <c r="I39" s="80"/>
      <c r="J39" s="79"/>
      <c r="K39" s="78"/>
      <c r="L39" s="80" t="s">
        <v>380</v>
      </c>
      <c r="M39" s="80"/>
      <c r="N39" s="78"/>
      <c r="O39" s="78" t="s">
        <v>381</v>
      </c>
      <c r="P39" s="80"/>
      <c r="Q39" s="79"/>
      <c r="R39" s="78"/>
      <c r="S39" s="78" t="s">
        <v>379</v>
      </c>
      <c r="T39" s="79"/>
      <c r="U39" s="80"/>
      <c r="V39" s="78"/>
      <c r="W39" s="80" t="s">
        <v>454</v>
      </c>
      <c r="X39" s="81"/>
      <c r="Y39" s="78"/>
      <c r="Z39" s="78" t="s">
        <v>455</v>
      </c>
      <c r="AA39" s="78"/>
      <c r="AB39" s="78"/>
      <c r="AC39" s="78" t="s">
        <v>376</v>
      </c>
      <c r="AD39" s="78"/>
      <c r="AE39" s="78"/>
      <c r="AF39" s="78"/>
      <c r="AG39" s="78" t="s">
        <v>456</v>
      </c>
      <c r="AH39" s="147"/>
      <c r="AI39" s="243"/>
      <c r="AJ39" s="239"/>
    </row>
  </sheetData>
  <mergeCells count="37">
    <mergeCell ref="B36:B39"/>
    <mergeCell ref="C36:C37"/>
    <mergeCell ref="AI36:AI37"/>
    <mergeCell ref="AJ36:AJ39"/>
    <mergeCell ref="C38:C39"/>
    <mergeCell ref="AI38:AI39"/>
    <mergeCell ref="B32:B35"/>
    <mergeCell ref="C32:C33"/>
    <mergeCell ref="AI32:AI33"/>
    <mergeCell ref="AJ32:AJ35"/>
    <mergeCell ref="C34:C35"/>
    <mergeCell ref="AI34:AI35"/>
    <mergeCell ref="B28:B31"/>
    <mergeCell ref="C28:C29"/>
    <mergeCell ref="AI28:AI29"/>
    <mergeCell ref="AJ28:AJ31"/>
    <mergeCell ref="C30:C31"/>
    <mergeCell ref="AI30:AI31"/>
    <mergeCell ref="B24:B27"/>
    <mergeCell ref="C24:C25"/>
    <mergeCell ref="AI24:AI25"/>
    <mergeCell ref="AJ24:AJ27"/>
    <mergeCell ref="C26:C27"/>
    <mergeCell ref="AI26:AI27"/>
    <mergeCell ref="B20:B23"/>
    <mergeCell ref="C20:C21"/>
    <mergeCell ref="AI20:AI21"/>
    <mergeCell ref="AJ20:AJ23"/>
    <mergeCell ref="C22:C23"/>
    <mergeCell ref="AI22:AI23"/>
    <mergeCell ref="B7:C7"/>
    <mergeCell ref="AI7:AJ7"/>
    <mergeCell ref="B2:AJ2"/>
    <mergeCell ref="B3:C4"/>
    <mergeCell ref="AI3:AJ4"/>
    <mergeCell ref="B5:C6"/>
    <mergeCell ref="AI5:AJ6"/>
  </mergeCells>
  <phoneticPr fontId="7"/>
  <conditionalFormatting sqref="D8:E8">
    <cfRule type="cellIs" dxfId="196" priority="23" operator="equal">
      <formula>"㉕"</formula>
    </cfRule>
    <cfRule type="containsText" dxfId="195" priority="22" operator="containsText" text="休">
      <formula>NOT(ISERROR(SEARCH("休",D8)))</formula>
    </cfRule>
    <cfRule type="containsText" dxfId="194" priority="21" operator="containsText" text="㉕">
      <formula>NOT(ISERROR(SEARCH("㉕",D8)))</formula>
    </cfRule>
    <cfRule type="cellIs" dxfId="193" priority="24" operator="equal">
      <formula>"休"</formula>
    </cfRule>
  </conditionalFormatting>
  <conditionalFormatting sqref="D16:M17">
    <cfRule type="cellIs" dxfId="192" priority="82" operator="equal">
      <formula>"休"</formula>
    </cfRule>
    <cfRule type="cellIs" dxfId="191" priority="81" operator="equal">
      <formula>"㉕"</formula>
    </cfRule>
    <cfRule type="containsText" dxfId="190" priority="80" operator="containsText" text="休">
      <formula>NOT(ISERROR(SEARCH("休",D16)))</formula>
    </cfRule>
    <cfRule type="containsText" dxfId="189" priority="79" operator="containsText" text="㉕">
      <formula>NOT(ISERROR(SEARCH("㉕",D16)))</formula>
    </cfRule>
  </conditionalFormatting>
  <conditionalFormatting sqref="D9:P9">
    <cfRule type="containsText" dxfId="188" priority="33" operator="containsText" text="㉕">
      <formula>NOT(ISERROR(SEARCH("㉕",D9)))</formula>
    </cfRule>
    <cfRule type="containsText" dxfId="187" priority="34" operator="containsText" text="休">
      <formula>NOT(ISERROR(SEARCH("休",D9)))</formula>
    </cfRule>
    <cfRule type="cellIs" dxfId="186" priority="35" operator="equal">
      <formula>"㉕"</formula>
    </cfRule>
    <cfRule type="cellIs" dxfId="185" priority="36" operator="equal">
      <formula>"休"</formula>
    </cfRule>
  </conditionalFormatting>
  <conditionalFormatting sqref="D15:Y15">
    <cfRule type="containsText" dxfId="184" priority="29" operator="containsText" text="㉕">
      <formula>NOT(ISERROR(SEARCH("㉕",D15)))</formula>
    </cfRule>
    <cfRule type="containsText" dxfId="183" priority="30" operator="containsText" text="休">
      <formula>NOT(ISERROR(SEARCH("休",D15)))</formula>
    </cfRule>
    <cfRule type="cellIs" dxfId="182" priority="31" operator="equal">
      <formula>"㉕"</formula>
    </cfRule>
    <cfRule type="cellIs" dxfId="181" priority="32" operator="equal">
      <formula>"休"</formula>
    </cfRule>
  </conditionalFormatting>
  <conditionalFormatting sqref="D10:Z10">
    <cfRule type="containsText" dxfId="180" priority="25" operator="containsText" text="㉕">
      <formula>NOT(ISERROR(SEARCH("㉕",D10)))</formula>
    </cfRule>
    <cfRule type="containsText" dxfId="179" priority="26" operator="containsText" text="休">
      <formula>NOT(ISERROR(SEARCH("休",D10)))</formula>
    </cfRule>
    <cfRule type="cellIs" dxfId="178" priority="27" operator="equal">
      <formula>"㉕"</formula>
    </cfRule>
    <cfRule type="cellIs" dxfId="177" priority="28" operator="equal">
      <formula>"休"</formula>
    </cfRule>
  </conditionalFormatting>
  <conditionalFormatting sqref="D3:AH4">
    <cfRule type="expression" dxfId="176" priority="97">
      <formula>OR(WEEKDAY(D$3)=7,WEEKDAY(D$3)=1)</formula>
    </cfRule>
  </conditionalFormatting>
  <conditionalFormatting sqref="D5:AH7">
    <cfRule type="notContainsBlanks" dxfId="175" priority="96">
      <formula>LEN(TRIM(D5))&gt;0</formula>
    </cfRule>
  </conditionalFormatting>
  <conditionalFormatting sqref="D11:AH14">
    <cfRule type="containsText" dxfId="174" priority="13" operator="containsText" text="㉕">
      <formula>NOT(ISERROR(SEARCH("㉕",D11)))</formula>
    </cfRule>
    <cfRule type="containsText" dxfId="173" priority="14" operator="containsText" text="休">
      <formula>NOT(ISERROR(SEARCH("休",D11)))</formula>
    </cfRule>
    <cfRule type="cellIs" dxfId="172" priority="15" operator="equal">
      <formula>"㉕"</formula>
    </cfRule>
    <cfRule type="cellIs" dxfId="171" priority="16" operator="equal">
      <formula>"休"</formula>
    </cfRule>
  </conditionalFormatting>
  <conditionalFormatting sqref="D18:AH19">
    <cfRule type="containsText" dxfId="170" priority="2" operator="containsText" text="休">
      <formula>NOT(ISERROR(SEARCH("休",D18)))</formula>
    </cfRule>
    <cfRule type="cellIs" dxfId="169" priority="3" operator="equal">
      <formula>"㉕"</formula>
    </cfRule>
    <cfRule type="cellIs" dxfId="168" priority="4" operator="equal">
      <formula>"休"</formula>
    </cfRule>
    <cfRule type="containsText" dxfId="167" priority="1" operator="containsText" text="㉕">
      <formula>NOT(ISERROR(SEARCH("㉕",D18)))</formula>
    </cfRule>
  </conditionalFormatting>
  <conditionalFormatting sqref="D20:AH21">
    <cfRule type="expression" dxfId="166" priority="98">
      <formula>OR(WEEKDAY(D$3)=7,WEEKDAY(D$3)=1)</formula>
    </cfRule>
  </conditionalFormatting>
  <conditionalFormatting sqref="D24:AH25">
    <cfRule type="expression" dxfId="165" priority="99">
      <formula>OR(WEEKDAY(D$3)=7,WEEKDAY(D$3)=1)</formula>
    </cfRule>
  </conditionalFormatting>
  <conditionalFormatting sqref="D28:AH31">
    <cfRule type="expression" dxfId="164" priority="100">
      <formula>OR(WEEKDAY(D$3)=7,WEEKDAY(D$3)=1)</formula>
    </cfRule>
  </conditionalFormatting>
  <conditionalFormatting sqref="D36:AH37">
    <cfRule type="expression" dxfId="163" priority="101">
      <formula>OR(WEEKDAY(D$3)=7,WEEKDAY(D$3)=1)</formula>
    </cfRule>
  </conditionalFormatting>
  <conditionalFormatting sqref="F8:I8">
    <cfRule type="containsText" dxfId="162" priority="89" operator="containsText" text="休">
      <formula>NOT(ISERROR(SEARCH("休",F8)))</formula>
    </cfRule>
    <cfRule type="cellIs" dxfId="161" priority="90" operator="equal">
      <formula>"㉕"</formula>
    </cfRule>
    <cfRule type="cellIs" dxfId="160" priority="91" operator="equal">
      <formula>"休"</formula>
    </cfRule>
  </conditionalFormatting>
  <conditionalFormatting sqref="F8:P8">
    <cfRule type="containsText" dxfId="159" priority="85" operator="containsText" text="㉕">
      <formula>NOT(ISERROR(SEARCH("㉕",F8)))</formula>
    </cfRule>
  </conditionalFormatting>
  <conditionalFormatting sqref="J8:K8">
    <cfRule type="containsText" dxfId="158" priority="84" operator="containsText" text="休">
      <formula>NOT(ISERROR(SEARCH("休",J8)))</formula>
    </cfRule>
  </conditionalFormatting>
  <conditionalFormatting sqref="L16">
    <cfRule type="cellIs" dxfId="157" priority="53" operator="equal">
      <formula>"休"</formula>
    </cfRule>
    <cfRule type="containsText" dxfId="156" priority="51" operator="containsText" text="休">
      <formula>NOT(ISERROR(SEARCH("休",L16)))</formula>
    </cfRule>
    <cfRule type="cellIs" dxfId="155" priority="52" operator="equal">
      <formula>"㉕"</formula>
    </cfRule>
  </conditionalFormatting>
  <conditionalFormatting sqref="L8:P8">
    <cfRule type="containsText" dxfId="154" priority="86" operator="containsText" text="休">
      <formula>NOT(ISERROR(SEARCH("休",L8)))</formula>
    </cfRule>
    <cfRule type="cellIs" dxfId="153" priority="87" operator="equal">
      <formula>"㉕"</formula>
    </cfRule>
    <cfRule type="cellIs" dxfId="152" priority="88" operator="equal">
      <formula>"休"</formula>
    </cfRule>
  </conditionalFormatting>
  <conditionalFormatting sqref="N17:P17">
    <cfRule type="containsText" dxfId="151" priority="6" operator="containsText" text="休">
      <formula>NOT(ISERROR(SEARCH("休",N17)))</formula>
    </cfRule>
    <cfRule type="cellIs" dxfId="150" priority="7" operator="equal">
      <formula>"㉕"</formula>
    </cfRule>
    <cfRule type="cellIs" dxfId="149" priority="8" operator="equal">
      <formula>"休"</formula>
    </cfRule>
    <cfRule type="containsText" dxfId="148" priority="5" operator="containsText" text="㉕">
      <formula>NOT(ISERROR(SEARCH("㉕",N17)))</formula>
    </cfRule>
  </conditionalFormatting>
  <conditionalFormatting sqref="N16:Z16">
    <cfRule type="containsText" dxfId="147" priority="9" operator="containsText" text="㉕">
      <formula>NOT(ISERROR(SEARCH("㉕",N16)))</formula>
    </cfRule>
    <cfRule type="containsText" dxfId="146" priority="10" operator="containsText" text="休">
      <formula>NOT(ISERROR(SEARCH("休",N16)))</formula>
    </cfRule>
    <cfRule type="cellIs" dxfId="145" priority="11" operator="equal">
      <formula>"㉕"</formula>
    </cfRule>
    <cfRule type="cellIs" dxfId="144" priority="12" operator="equal">
      <formula>"休"</formula>
    </cfRule>
  </conditionalFormatting>
  <conditionalFormatting sqref="Q8">
    <cfRule type="cellIs" dxfId="143" priority="39" operator="equal">
      <formula>"㉕"</formula>
    </cfRule>
    <cfRule type="containsText" dxfId="142" priority="38" operator="containsText" text="休">
      <formula>NOT(ISERROR(SEARCH("休",Q8)))</formula>
    </cfRule>
  </conditionalFormatting>
  <conditionalFormatting sqref="Q8:Q9">
    <cfRule type="cellIs" dxfId="141" priority="40" operator="equal">
      <formula>"休"</formula>
    </cfRule>
    <cfRule type="containsText" dxfId="140" priority="37" operator="containsText" text="㉕">
      <formula>NOT(ISERROR(SEARCH("㉕",Q8)))</formula>
    </cfRule>
  </conditionalFormatting>
  <conditionalFormatting sqref="Q9">
    <cfRule type="cellIs" dxfId="139" priority="62" operator="equal">
      <formula>"㉕"</formula>
    </cfRule>
  </conditionalFormatting>
  <conditionalFormatting sqref="Q9:X9">
    <cfRule type="containsText" dxfId="138" priority="58" operator="containsText" text="休">
      <formula>NOT(ISERROR(SEARCH("休",Q9)))</formula>
    </cfRule>
  </conditionalFormatting>
  <conditionalFormatting sqref="Q17:AH17">
    <cfRule type="cellIs" dxfId="137" priority="77" operator="equal">
      <formula>"㉕"</formula>
    </cfRule>
    <cfRule type="containsText" dxfId="136" priority="76" operator="containsText" text="休">
      <formula>NOT(ISERROR(SEARCH("休",Q17)))</formula>
    </cfRule>
    <cfRule type="containsText" dxfId="135" priority="75" operator="containsText" text="㉕">
      <formula>NOT(ISERROR(SEARCH("㉕",Q17)))</formula>
    </cfRule>
    <cfRule type="cellIs" dxfId="134" priority="78" operator="equal">
      <formula>"休"</formula>
    </cfRule>
  </conditionalFormatting>
  <conditionalFormatting sqref="R9">
    <cfRule type="containsText" dxfId="133" priority="83" operator="containsText" text="㉕">
      <formula>NOT(ISERROR(SEARCH("㉕",R9)))</formula>
    </cfRule>
  </conditionalFormatting>
  <conditionalFormatting sqref="R8:AH8">
    <cfRule type="cellIs" dxfId="132" priority="66" operator="equal">
      <formula>"休"</formula>
    </cfRule>
    <cfRule type="cellIs" dxfId="131" priority="65" operator="equal">
      <formula>"㉕"</formula>
    </cfRule>
    <cfRule type="containsText" dxfId="130" priority="64" operator="containsText" text="休">
      <formula>NOT(ISERROR(SEARCH("休",R8)))</formula>
    </cfRule>
    <cfRule type="containsText" dxfId="129" priority="63" operator="containsText" text="㉕">
      <formula>NOT(ISERROR(SEARCH("㉕",R8)))</formula>
    </cfRule>
  </conditionalFormatting>
  <conditionalFormatting sqref="S9:X9">
    <cfRule type="cellIs" dxfId="128" priority="59" operator="equal">
      <formula>"㉕"</formula>
    </cfRule>
  </conditionalFormatting>
  <conditionalFormatting sqref="S9:Y9">
    <cfRule type="containsText" dxfId="127" priority="17" operator="containsText" text="㉕">
      <formula>NOT(ISERROR(SEARCH("㉕",S9)))</formula>
    </cfRule>
    <cfRule type="cellIs" dxfId="126" priority="20" operator="equal">
      <formula>"休"</formula>
    </cfRule>
  </conditionalFormatting>
  <conditionalFormatting sqref="U17">
    <cfRule type="cellIs" dxfId="125" priority="49" operator="equal">
      <formula>"㉕"</formula>
    </cfRule>
    <cfRule type="cellIs" dxfId="124" priority="50" operator="equal">
      <formula>"休"</formula>
    </cfRule>
    <cfRule type="containsText" dxfId="123" priority="48" operator="containsText" text="休">
      <formula>NOT(ISERROR(SEARCH("休",U17)))</formula>
    </cfRule>
  </conditionalFormatting>
  <conditionalFormatting sqref="Y9">
    <cfRule type="cellIs" dxfId="122" priority="19" operator="equal">
      <formula>"㉕"</formula>
    </cfRule>
    <cfRule type="containsText" dxfId="121" priority="18" operator="containsText" text="休">
      <formula>NOT(ISERROR(SEARCH("休",Y9)))</formula>
    </cfRule>
  </conditionalFormatting>
  <conditionalFormatting sqref="Z9">
    <cfRule type="containsText" dxfId="120" priority="57" operator="containsText" text="㉕">
      <formula>NOT(ISERROR(SEARCH("㉕",Z9)))</formula>
    </cfRule>
  </conditionalFormatting>
  <conditionalFormatting sqref="Z9:AH9">
    <cfRule type="containsText" dxfId="119" priority="54" operator="containsText" text="休">
      <formula>NOT(ISERROR(SEARCH("休",Z9)))</formula>
    </cfRule>
  </conditionalFormatting>
  <conditionalFormatting sqref="Z15:AH15">
    <cfRule type="containsText" dxfId="118" priority="67" operator="containsText" text="㉕">
      <formula>NOT(ISERROR(SEARCH("㉕",Z15)))</formula>
    </cfRule>
    <cfRule type="containsText" dxfId="117" priority="68" operator="containsText" text="休">
      <formula>NOT(ISERROR(SEARCH("休",Z15)))</formula>
    </cfRule>
    <cfRule type="cellIs" dxfId="116" priority="69" operator="equal">
      <formula>"㉕"</formula>
    </cfRule>
    <cfRule type="cellIs" dxfId="115" priority="70" operator="equal">
      <formula>"休"</formula>
    </cfRule>
  </conditionalFormatting>
  <conditionalFormatting sqref="AA9:AH9">
    <cfRule type="cellIs" dxfId="114" priority="55" operator="equal">
      <formula>"㉕"</formula>
    </cfRule>
  </conditionalFormatting>
  <conditionalFormatting sqref="AA9:AH10">
    <cfRule type="cellIs" dxfId="113" priority="56" operator="equal">
      <formula>"休"</formula>
    </cfRule>
    <cfRule type="containsText" dxfId="112" priority="41" operator="containsText" text="㉕">
      <formula>NOT(ISERROR(SEARCH("㉕",AA9)))</formula>
    </cfRule>
  </conditionalFormatting>
  <conditionalFormatting sqref="AA10:AH10">
    <cfRule type="containsText" dxfId="111" priority="60" operator="containsText" text="休">
      <formula>NOT(ISERROR(SEARCH("休",AA10)))</formula>
    </cfRule>
    <cfRule type="cellIs" dxfId="110" priority="61" operator="equal">
      <formula>"㉕"</formula>
    </cfRule>
  </conditionalFormatting>
  <conditionalFormatting sqref="AA16:AH16">
    <cfRule type="containsText" dxfId="109" priority="72" operator="containsText" text="休">
      <formula>NOT(ISERROR(SEARCH("休",AA16)))</formula>
    </cfRule>
    <cfRule type="cellIs" dxfId="108" priority="74" operator="equal">
      <formula>"休"</formula>
    </cfRule>
    <cfRule type="cellIs" dxfId="107" priority="73" operator="equal">
      <formula>"㉕"</formula>
    </cfRule>
    <cfRule type="containsText" dxfId="106" priority="71" operator="containsText" text="㉕">
      <formula>NOT(ISERROR(SEARCH("㉕",AA16)))</formula>
    </cfRule>
  </conditionalFormatting>
  <conditionalFormatting sqref="AC15">
    <cfRule type="cellIs" dxfId="105" priority="47" operator="equal">
      <formula>"休"</formula>
    </cfRule>
    <cfRule type="cellIs" dxfId="104" priority="46" operator="equal">
      <formula>"㉕"</formula>
    </cfRule>
    <cfRule type="containsText" dxfId="103" priority="45" operator="containsText" text="休">
      <formula>NOT(ISERROR(SEARCH("休",AC15)))</formula>
    </cfRule>
  </conditionalFormatting>
  <conditionalFormatting sqref="AF16">
    <cfRule type="cellIs" dxfId="102" priority="43" operator="equal">
      <formula>"㉕"</formula>
    </cfRule>
    <cfRule type="cellIs" dxfId="101" priority="44" operator="equal">
      <formula>"休"</formula>
    </cfRule>
    <cfRule type="containsText" dxfId="100" priority="42" operator="containsText" text="休">
      <formula>NOT(ISERROR(SEARCH("休",AF16)))</formula>
    </cfRule>
  </conditionalFormatting>
  <pageMargins left="0.19685039370078741" right="0.11811023622047245" top="0.11811023622047245" bottom="0.35433070866141736" header="0.31496062992125984" footer="0.31496062992125984"/>
  <pageSetup paperSize="9" scale="37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20FFB-D8F7-4874-87CD-888186989DCA}">
  <sheetPr>
    <pageSetUpPr fitToPage="1"/>
  </sheetPr>
  <dimension ref="B2:AO39"/>
  <sheetViews>
    <sheetView zoomScale="50" zoomScaleNormal="50" workbookViewId="0">
      <pane ySplit="4" topLeftCell="A5" activePane="bottomLeft" state="frozen"/>
      <selection pane="bottomLeft"/>
    </sheetView>
  </sheetViews>
  <sheetFormatPr defaultRowHeight="13" x14ac:dyDescent="0.2"/>
  <cols>
    <col min="1" max="3" width="8.7265625" style="14"/>
    <col min="4" max="34" width="11.1796875" style="14" customWidth="1"/>
    <col min="35" max="16384" width="8.7265625" style="14"/>
  </cols>
  <sheetData>
    <row r="2" spans="2:41" ht="41.5" thickBot="1" x14ac:dyDescent="0.25">
      <c r="B2" s="217" t="str">
        <f>AN3 &amp; "年" &amp; AO3 &amp; "月　勤務表"</f>
        <v>2026年6月　勤務表</v>
      </c>
      <c r="C2" s="217"/>
      <c r="D2" s="217"/>
      <c r="E2" s="217"/>
      <c r="F2" s="217"/>
      <c r="G2" s="217"/>
      <c r="H2" s="217"/>
      <c r="I2" s="217"/>
      <c r="J2" s="217"/>
      <c r="K2" s="217"/>
      <c r="L2" s="217"/>
      <c r="M2" s="217"/>
      <c r="N2" s="217"/>
      <c r="O2" s="217"/>
      <c r="P2" s="217"/>
      <c r="Q2" s="217"/>
      <c r="R2" s="217"/>
      <c r="S2" s="217"/>
      <c r="T2" s="217"/>
      <c r="U2" s="217"/>
      <c r="V2" s="217"/>
      <c r="W2" s="217"/>
      <c r="X2" s="217"/>
      <c r="Y2" s="217"/>
      <c r="Z2" s="217"/>
      <c r="AA2" s="217"/>
      <c r="AB2" s="217"/>
      <c r="AC2" s="217"/>
      <c r="AD2" s="217"/>
      <c r="AE2" s="217"/>
      <c r="AF2" s="217"/>
      <c r="AG2" s="217"/>
      <c r="AH2" s="217"/>
      <c r="AI2" s="217"/>
      <c r="AJ2" s="217"/>
    </row>
    <row r="3" spans="2:41" ht="25" x14ac:dyDescent="0.2">
      <c r="B3" s="218" t="str">
        <f>AN3&amp;"年
" &amp;AO3 &amp; "月"</f>
        <v>2026年
6月</v>
      </c>
      <c r="C3" s="219"/>
      <c r="D3" s="15">
        <f>DATE(AN3,AO3,1)</f>
        <v>46174</v>
      </c>
      <c r="E3" s="16">
        <f>D3+1</f>
        <v>46175</v>
      </c>
      <c r="F3" s="16">
        <f t="shared" ref="F3:AG3" si="0">E3+1</f>
        <v>46176</v>
      </c>
      <c r="G3" s="16">
        <f t="shared" si="0"/>
        <v>46177</v>
      </c>
      <c r="H3" s="16">
        <f t="shared" si="0"/>
        <v>46178</v>
      </c>
      <c r="I3" s="17">
        <f t="shared" si="0"/>
        <v>46179</v>
      </c>
      <c r="J3" s="16">
        <f>I3+1</f>
        <v>46180</v>
      </c>
      <c r="K3" s="15">
        <f t="shared" si="0"/>
        <v>46181</v>
      </c>
      <c r="L3" s="16">
        <f t="shared" si="0"/>
        <v>46182</v>
      </c>
      <c r="M3" s="16">
        <f t="shared" si="0"/>
        <v>46183</v>
      </c>
      <c r="N3" s="16">
        <f>M3+1</f>
        <v>46184</v>
      </c>
      <c r="O3" s="16">
        <f t="shared" si="0"/>
        <v>46185</v>
      </c>
      <c r="P3" s="16">
        <f t="shared" si="0"/>
        <v>46186</v>
      </c>
      <c r="Q3" s="16">
        <f t="shared" si="0"/>
        <v>46187</v>
      </c>
      <c r="R3" s="16">
        <f t="shared" si="0"/>
        <v>46188</v>
      </c>
      <c r="S3" s="16">
        <f t="shared" si="0"/>
        <v>46189</v>
      </c>
      <c r="T3" s="16">
        <f t="shared" si="0"/>
        <v>46190</v>
      </c>
      <c r="U3" s="16">
        <f t="shared" si="0"/>
        <v>46191</v>
      </c>
      <c r="V3" s="16">
        <f t="shared" si="0"/>
        <v>46192</v>
      </c>
      <c r="W3" s="16">
        <f t="shared" si="0"/>
        <v>46193</v>
      </c>
      <c r="X3" s="16">
        <f t="shared" si="0"/>
        <v>46194</v>
      </c>
      <c r="Y3" s="16">
        <f t="shared" si="0"/>
        <v>46195</v>
      </c>
      <c r="Z3" s="16">
        <f>Y3+1</f>
        <v>46196</v>
      </c>
      <c r="AA3" s="16">
        <f t="shared" si="0"/>
        <v>46197</v>
      </c>
      <c r="AB3" s="16">
        <f t="shared" si="0"/>
        <v>46198</v>
      </c>
      <c r="AC3" s="16">
        <f t="shared" si="0"/>
        <v>46199</v>
      </c>
      <c r="AD3" s="16">
        <f>AC3+1</f>
        <v>46200</v>
      </c>
      <c r="AE3" s="16">
        <f t="shared" si="0"/>
        <v>46201</v>
      </c>
      <c r="AF3" s="16">
        <f>AE3+1</f>
        <v>46202</v>
      </c>
      <c r="AG3" s="16">
        <f t="shared" si="0"/>
        <v>46203</v>
      </c>
      <c r="AH3" s="83" t="s">
        <v>353</v>
      </c>
      <c r="AI3" s="222" t="str">
        <f>B3</f>
        <v>2026年
6月</v>
      </c>
      <c r="AJ3" s="223"/>
      <c r="AN3" s="14">
        <v>2026</v>
      </c>
      <c r="AO3" s="14">
        <v>6</v>
      </c>
    </row>
    <row r="4" spans="2:41" ht="25.5" thickBot="1" x14ac:dyDescent="0.25">
      <c r="B4" s="220"/>
      <c r="C4" s="221"/>
      <c r="D4" s="18">
        <f>D3</f>
        <v>46174</v>
      </c>
      <c r="E4" s="18">
        <f t="shared" ref="E4:AE4" si="1">E3</f>
        <v>46175</v>
      </c>
      <c r="F4" s="18">
        <f t="shared" si="1"/>
        <v>46176</v>
      </c>
      <c r="G4" s="18">
        <f t="shared" si="1"/>
        <v>46177</v>
      </c>
      <c r="H4" s="18">
        <f t="shared" si="1"/>
        <v>46178</v>
      </c>
      <c r="I4" s="19">
        <f t="shared" si="1"/>
        <v>46179</v>
      </c>
      <c r="J4" s="18">
        <f t="shared" si="1"/>
        <v>46180</v>
      </c>
      <c r="K4" s="18">
        <f t="shared" si="1"/>
        <v>46181</v>
      </c>
      <c r="L4" s="18">
        <f t="shared" si="1"/>
        <v>46182</v>
      </c>
      <c r="M4" s="18">
        <f t="shared" si="1"/>
        <v>46183</v>
      </c>
      <c r="N4" s="18">
        <f t="shared" si="1"/>
        <v>46184</v>
      </c>
      <c r="O4" s="18">
        <f t="shared" si="1"/>
        <v>46185</v>
      </c>
      <c r="P4" s="18">
        <f t="shared" si="1"/>
        <v>46186</v>
      </c>
      <c r="Q4" s="18">
        <f t="shared" si="1"/>
        <v>46187</v>
      </c>
      <c r="R4" s="18">
        <f t="shared" si="1"/>
        <v>46188</v>
      </c>
      <c r="S4" s="18">
        <f t="shared" si="1"/>
        <v>46189</v>
      </c>
      <c r="T4" s="18">
        <f t="shared" si="1"/>
        <v>46190</v>
      </c>
      <c r="U4" s="18">
        <f t="shared" si="1"/>
        <v>46191</v>
      </c>
      <c r="V4" s="18">
        <f t="shared" si="1"/>
        <v>46192</v>
      </c>
      <c r="W4" s="18">
        <f t="shared" si="1"/>
        <v>46193</v>
      </c>
      <c r="X4" s="18">
        <f t="shared" si="1"/>
        <v>46194</v>
      </c>
      <c r="Y4" s="18">
        <f t="shared" si="1"/>
        <v>46195</v>
      </c>
      <c r="Z4" s="18">
        <f t="shared" si="1"/>
        <v>46196</v>
      </c>
      <c r="AA4" s="18">
        <f t="shared" si="1"/>
        <v>46197</v>
      </c>
      <c r="AB4" s="18">
        <f t="shared" si="1"/>
        <v>46198</v>
      </c>
      <c r="AC4" s="18">
        <f t="shared" si="1"/>
        <v>46199</v>
      </c>
      <c r="AD4" s="18">
        <f t="shared" si="1"/>
        <v>46200</v>
      </c>
      <c r="AE4" s="18">
        <f t="shared" si="1"/>
        <v>46201</v>
      </c>
      <c r="AF4" s="18">
        <f>AF3</f>
        <v>46202</v>
      </c>
      <c r="AG4" s="18">
        <f>AG3</f>
        <v>46203</v>
      </c>
      <c r="AH4" s="84"/>
      <c r="AI4" s="224"/>
      <c r="AJ4" s="225"/>
    </row>
    <row r="5" spans="2:41" ht="41" x14ac:dyDescent="0.2">
      <c r="B5" s="226" t="s">
        <v>75</v>
      </c>
      <c r="C5" s="227"/>
      <c r="D5" s="20" t="s">
        <v>1</v>
      </c>
      <c r="E5" s="21" t="s">
        <v>1</v>
      </c>
      <c r="F5" s="20" t="s">
        <v>1</v>
      </c>
      <c r="G5" s="20" t="s">
        <v>0</v>
      </c>
      <c r="H5" s="22" t="s">
        <v>298</v>
      </c>
      <c r="I5" s="20" t="s">
        <v>1</v>
      </c>
      <c r="J5" s="20" t="s">
        <v>1</v>
      </c>
      <c r="K5" s="23" t="s">
        <v>2</v>
      </c>
      <c r="L5" s="24" t="s">
        <v>1</v>
      </c>
      <c r="M5" s="20" t="s">
        <v>1</v>
      </c>
      <c r="N5" s="20" t="s">
        <v>1</v>
      </c>
      <c r="O5" s="20" t="s">
        <v>299</v>
      </c>
      <c r="P5" s="20" t="s">
        <v>2</v>
      </c>
      <c r="Q5" s="20" t="s">
        <v>0</v>
      </c>
      <c r="R5" s="20" t="s">
        <v>1</v>
      </c>
      <c r="S5" s="20" t="s">
        <v>1</v>
      </c>
      <c r="T5" s="24" t="s">
        <v>1</v>
      </c>
      <c r="U5" s="20" t="s">
        <v>1</v>
      </c>
      <c r="V5" s="20" t="s">
        <v>426</v>
      </c>
      <c r="W5" s="20" t="s">
        <v>427</v>
      </c>
      <c r="X5" s="20" t="s">
        <v>2</v>
      </c>
      <c r="Y5" s="24" t="s">
        <v>1</v>
      </c>
      <c r="Z5" s="24" t="s">
        <v>2</v>
      </c>
      <c r="AA5" s="20" t="s">
        <v>1</v>
      </c>
      <c r="AB5" s="20" t="s">
        <v>1</v>
      </c>
      <c r="AC5" s="24" t="s">
        <v>1</v>
      </c>
      <c r="AD5" s="20" t="s">
        <v>2</v>
      </c>
      <c r="AE5" s="24" t="s">
        <v>1</v>
      </c>
      <c r="AF5" s="20" t="s">
        <v>0</v>
      </c>
      <c r="AG5" s="24" t="s">
        <v>1</v>
      </c>
      <c r="AH5" s="85"/>
      <c r="AI5" s="228" t="s">
        <v>75</v>
      </c>
      <c r="AJ5" s="229"/>
    </row>
    <row r="6" spans="2:41" ht="20.5" x14ac:dyDescent="0.2">
      <c r="B6" s="226"/>
      <c r="C6" s="227"/>
      <c r="D6" s="20" t="s">
        <v>1</v>
      </c>
      <c r="E6" s="25" t="s">
        <v>1</v>
      </c>
      <c r="F6" s="23" t="s">
        <v>1</v>
      </c>
      <c r="G6" s="23" t="s">
        <v>1</v>
      </c>
      <c r="H6" s="20" t="s">
        <v>1</v>
      </c>
      <c r="I6" s="20" t="s">
        <v>1</v>
      </c>
      <c r="J6" s="24" t="s">
        <v>1</v>
      </c>
      <c r="K6" s="24" t="s">
        <v>1</v>
      </c>
      <c r="L6" s="24" t="s">
        <v>1</v>
      </c>
      <c r="M6" s="23" t="s">
        <v>1</v>
      </c>
      <c r="N6" s="20" t="s">
        <v>1</v>
      </c>
      <c r="O6" s="20" t="s">
        <v>1</v>
      </c>
      <c r="P6" s="20"/>
      <c r="Q6" s="24" t="s">
        <v>1</v>
      </c>
      <c r="R6" s="23" t="s">
        <v>1</v>
      </c>
      <c r="S6" s="24" t="s">
        <v>1</v>
      </c>
      <c r="T6" s="25" t="s">
        <v>1</v>
      </c>
      <c r="U6" s="20" t="s">
        <v>1</v>
      </c>
      <c r="V6" s="20" t="s">
        <v>1</v>
      </c>
      <c r="W6" s="20" t="s">
        <v>428</v>
      </c>
      <c r="X6" s="20" t="s">
        <v>1</v>
      </c>
      <c r="Y6" s="24" t="s">
        <v>1</v>
      </c>
      <c r="Z6" s="24"/>
      <c r="AA6" s="24" t="s">
        <v>1</v>
      </c>
      <c r="AB6" s="24" t="s">
        <v>1</v>
      </c>
      <c r="AC6" s="24" t="s">
        <v>1</v>
      </c>
      <c r="AD6" s="25" t="s">
        <v>1</v>
      </c>
      <c r="AE6" s="25" t="s">
        <v>1</v>
      </c>
      <c r="AF6" s="23" t="s">
        <v>1</v>
      </c>
      <c r="AG6" s="25" t="s">
        <v>1</v>
      </c>
      <c r="AH6" s="86"/>
      <c r="AI6" s="228"/>
      <c r="AJ6" s="229"/>
    </row>
    <row r="7" spans="2:41" ht="21" thickBot="1" x14ac:dyDescent="0.25">
      <c r="B7" s="213" t="s">
        <v>76</v>
      </c>
      <c r="C7" s="214"/>
      <c r="D7" s="27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87"/>
      <c r="AI7" s="215" t="s">
        <v>76</v>
      </c>
      <c r="AJ7" s="216"/>
    </row>
    <row r="8" spans="2:41" ht="71" x14ac:dyDescent="0.2">
      <c r="B8" s="29" t="s">
        <v>354</v>
      </c>
      <c r="C8" s="30"/>
      <c r="D8" s="115" t="s">
        <v>429</v>
      </c>
      <c r="E8" s="116" t="s">
        <v>4</v>
      </c>
      <c r="F8" s="116" t="s">
        <v>4</v>
      </c>
      <c r="G8" s="115" t="s">
        <v>430</v>
      </c>
      <c r="H8" s="116" t="s">
        <v>4</v>
      </c>
      <c r="I8" s="116" t="s">
        <v>8</v>
      </c>
      <c r="J8" s="117" t="s">
        <v>5</v>
      </c>
      <c r="K8" s="118" t="s">
        <v>4</v>
      </c>
      <c r="L8" s="115" t="s">
        <v>431</v>
      </c>
      <c r="M8" s="115" t="s">
        <v>432</v>
      </c>
      <c r="N8" s="115" t="s">
        <v>433</v>
      </c>
      <c r="O8" s="115" t="s">
        <v>434</v>
      </c>
      <c r="P8" s="117" t="s">
        <v>5</v>
      </c>
      <c r="Q8" s="32" t="s">
        <v>340</v>
      </c>
      <c r="R8" s="116" t="s">
        <v>4</v>
      </c>
      <c r="S8" s="118" t="s">
        <v>4</v>
      </c>
      <c r="T8" s="115" t="s">
        <v>434</v>
      </c>
      <c r="U8" s="115" t="s">
        <v>435</v>
      </c>
      <c r="V8" s="115" t="s">
        <v>432</v>
      </c>
      <c r="W8" s="117" t="s">
        <v>5</v>
      </c>
      <c r="X8" s="117" t="s">
        <v>5</v>
      </c>
      <c r="Y8" s="116" t="s">
        <v>4</v>
      </c>
      <c r="Z8" s="116" t="s">
        <v>4</v>
      </c>
      <c r="AA8" s="115" t="s">
        <v>432</v>
      </c>
      <c r="AB8" s="118" t="s">
        <v>433</v>
      </c>
      <c r="AC8" s="115" t="s">
        <v>432</v>
      </c>
      <c r="AD8" s="119" t="s">
        <v>5</v>
      </c>
      <c r="AE8" s="120" t="s">
        <v>6</v>
      </c>
      <c r="AF8" s="121" t="s">
        <v>7</v>
      </c>
      <c r="AG8" s="122" t="s">
        <v>4</v>
      </c>
      <c r="AH8" s="88"/>
      <c r="AI8" s="29" t="s">
        <v>354</v>
      </c>
      <c r="AJ8" s="30"/>
    </row>
    <row r="9" spans="2:41" ht="59.5" customHeight="1" x14ac:dyDescent="0.2">
      <c r="B9" s="41" t="s">
        <v>355</v>
      </c>
      <c r="C9" s="42"/>
      <c r="D9" s="120" t="s">
        <v>6</v>
      </c>
      <c r="E9" s="120" t="s">
        <v>7</v>
      </c>
      <c r="F9" s="123" t="s">
        <v>8</v>
      </c>
      <c r="G9" s="120" t="s">
        <v>6</v>
      </c>
      <c r="H9" s="115" t="s">
        <v>7</v>
      </c>
      <c r="I9" s="117" t="s">
        <v>5</v>
      </c>
      <c r="J9" s="117" t="s">
        <v>5</v>
      </c>
      <c r="K9" s="116" t="s">
        <v>8</v>
      </c>
      <c r="L9" s="116" t="s">
        <v>8</v>
      </c>
      <c r="M9" s="117" t="s">
        <v>358</v>
      </c>
      <c r="N9" s="115" t="s">
        <v>6</v>
      </c>
      <c r="O9" s="115" t="s">
        <v>7</v>
      </c>
      <c r="P9" s="32" t="s">
        <v>340</v>
      </c>
      <c r="Q9" s="115" t="s">
        <v>6</v>
      </c>
      <c r="R9" s="115" t="s">
        <v>7</v>
      </c>
      <c r="S9" s="120" t="s">
        <v>6</v>
      </c>
      <c r="T9" s="120" t="s">
        <v>7</v>
      </c>
      <c r="U9" s="119" t="s">
        <v>5</v>
      </c>
      <c r="V9" s="120" t="s">
        <v>6</v>
      </c>
      <c r="W9" s="120" t="s">
        <v>7</v>
      </c>
      <c r="X9" s="124" t="s">
        <v>8</v>
      </c>
      <c r="Y9" s="119" t="s">
        <v>5</v>
      </c>
      <c r="Z9" s="124" t="s">
        <v>8</v>
      </c>
      <c r="AA9" s="123" t="s">
        <v>8</v>
      </c>
      <c r="AB9" s="120" t="s">
        <v>6</v>
      </c>
      <c r="AC9" s="120" t="s">
        <v>7</v>
      </c>
      <c r="AD9" s="120" t="s">
        <v>6</v>
      </c>
      <c r="AE9" s="120" t="s">
        <v>7</v>
      </c>
      <c r="AF9" s="125" t="s">
        <v>8</v>
      </c>
      <c r="AG9" s="122" t="s">
        <v>8</v>
      </c>
      <c r="AH9" s="89"/>
      <c r="AI9" s="41" t="s">
        <v>355</v>
      </c>
      <c r="AJ9" s="42"/>
    </row>
    <row r="10" spans="2:41" ht="60" x14ac:dyDescent="0.2">
      <c r="B10" s="41" t="s">
        <v>87</v>
      </c>
      <c r="C10" s="42"/>
      <c r="D10" s="120" t="s">
        <v>7</v>
      </c>
      <c r="E10" s="123" t="s">
        <v>8</v>
      </c>
      <c r="F10" s="120" t="s">
        <v>6</v>
      </c>
      <c r="G10" s="120" t="s">
        <v>7</v>
      </c>
      <c r="H10" s="115" t="s">
        <v>359</v>
      </c>
      <c r="I10" s="117" t="s">
        <v>5</v>
      </c>
      <c r="J10" s="115" t="s">
        <v>6</v>
      </c>
      <c r="K10" s="116" t="s">
        <v>436</v>
      </c>
      <c r="L10" s="117" t="s">
        <v>335</v>
      </c>
      <c r="M10" s="126" t="s">
        <v>356</v>
      </c>
      <c r="N10" s="115" t="s">
        <v>7</v>
      </c>
      <c r="O10" s="116" t="s">
        <v>8</v>
      </c>
      <c r="P10" s="115" t="s">
        <v>6</v>
      </c>
      <c r="Q10" s="115" t="s">
        <v>7</v>
      </c>
      <c r="R10" s="117" t="s">
        <v>5</v>
      </c>
      <c r="S10" s="32" t="s">
        <v>340</v>
      </c>
      <c r="T10" s="118" t="s">
        <v>8</v>
      </c>
      <c r="U10" s="115" t="s">
        <v>6</v>
      </c>
      <c r="V10" s="115" t="s">
        <v>7</v>
      </c>
      <c r="W10" s="117" t="s">
        <v>5</v>
      </c>
      <c r="X10" s="115" t="s">
        <v>6</v>
      </c>
      <c r="Y10" s="116" t="s">
        <v>436</v>
      </c>
      <c r="Z10" s="117" t="s">
        <v>335</v>
      </c>
      <c r="AA10" s="115" t="s">
        <v>6</v>
      </c>
      <c r="AB10" s="120" t="s">
        <v>7</v>
      </c>
      <c r="AC10" s="120" t="s">
        <v>6</v>
      </c>
      <c r="AD10" s="120" t="s">
        <v>7</v>
      </c>
      <c r="AE10" s="119" t="s">
        <v>5</v>
      </c>
      <c r="AF10" s="121" t="s">
        <v>6</v>
      </c>
      <c r="AG10" s="127" t="s">
        <v>7</v>
      </c>
      <c r="AH10" s="90"/>
      <c r="AI10" s="41" t="s">
        <v>87</v>
      </c>
      <c r="AJ10" s="42"/>
    </row>
    <row r="11" spans="2:41" ht="58.5" customHeight="1" x14ac:dyDescent="0.2">
      <c r="B11" s="41" t="s">
        <v>9</v>
      </c>
      <c r="C11" s="42"/>
      <c r="D11" s="128" t="s">
        <v>437</v>
      </c>
      <c r="E11" s="128" t="s">
        <v>437</v>
      </c>
      <c r="F11" s="128" t="s">
        <v>437</v>
      </c>
      <c r="G11" s="128" t="s">
        <v>437</v>
      </c>
      <c r="H11" s="128" t="s">
        <v>437</v>
      </c>
      <c r="I11" s="128" t="s">
        <v>437</v>
      </c>
      <c r="J11" s="128" t="s">
        <v>437</v>
      </c>
      <c r="K11" s="124" t="s">
        <v>4</v>
      </c>
      <c r="L11" s="124" t="s">
        <v>4</v>
      </c>
      <c r="M11" s="117" t="s">
        <v>5</v>
      </c>
      <c r="N11" s="116" t="s">
        <v>360</v>
      </c>
      <c r="O11" s="116" t="s">
        <v>4</v>
      </c>
      <c r="P11" s="116" t="s">
        <v>360</v>
      </c>
      <c r="Q11" s="32" t="s">
        <v>340</v>
      </c>
      <c r="R11" s="116" t="s">
        <v>4</v>
      </c>
      <c r="S11" s="116" t="s">
        <v>4</v>
      </c>
      <c r="T11" s="117" t="s">
        <v>5</v>
      </c>
      <c r="U11" s="118" t="s">
        <v>4</v>
      </c>
      <c r="V11" s="116" t="s">
        <v>4</v>
      </c>
      <c r="W11" s="116" t="s">
        <v>4</v>
      </c>
      <c r="X11" s="116" t="s">
        <v>4</v>
      </c>
      <c r="Y11" s="116" t="s">
        <v>4</v>
      </c>
      <c r="Z11" s="118" t="s">
        <v>4</v>
      </c>
      <c r="AA11" s="117" t="s">
        <v>5</v>
      </c>
      <c r="AB11" s="116" t="s">
        <v>4</v>
      </c>
      <c r="AC11" s="116" t="s">
        <v>4</v>
      </c>
      <c r="AD11" s="115" t="s">
        <v>4</v>
      </c>
      <c r="AE11" s="116" t="s">
        <v>4</v>
      </c>
      <c r="AF11" s="129" t="s">
        <v>4</v>
      </c>
      <c r="AG11" s="130" t="s">
        <v>5</v>
      </c>
      <c r="AH11" s="91"/>
      <c r="AI11" s="41" t="s">
        <v>9</v>
      </c>
      <c r="AJ11" s="42"/>
    </row>
    <row r="12" spans="2:41" ht="60" x14ac:dyDescent="0.2">
      <c r="B12" s="41" t="s">
        <v>88</v>
      </c>
      <c r="C12" s="42"/>
      <c r="D12" s="32" t="s">
        <v>438</v>
      </c>
      <c r="E12" s="115" t="s">
        <v>339</v>
      </c>
      <c r="F12" s="115" t="s">
        <v>7</v>
      </c>
      <c r="G12" s="116" t="s">
        <v>8</v>
      </c>
      <c r="H12" s="117" t="s" ph="1">
        <v>5</v>
      </c>
      <c r="I12" s="115" t="s">
        <v>339</v>
      </c>
      <c r="J12" s="115" t="s">
        <v>7</v>
      </c>
      <c r="K12" s="116" t="s">
        <v>4</v>
      </c>
      <c r="L12" s="115" t="s">
        <v>339</v>
      </c>
      <c r="M12" s="115" t="s">
        <v>7</v>
      </c>
      <c r="N12" s="118" t="s">
        <v>8</v>
      </c>
      <c r="O12" s="32" t="s">
        <v>340</v>
      </c>
      <c r="P12" s="116" t="s">
        <v>8</v>
      </c>
      <c r="Q12" s="117" t="s">
        <v>5</v>
      </c>
      <c r="R12" s="118" t="s">
        <v>8</v>
      </c>
      <c r="S12" s="116" t="s">
        <v>8</v>
      </c>
      <c r="T12" s="117" t="s">
        <v>5</v>
      </c>
      <c r="U12" s="116" t="s">
        <v>8</v>
      </c>
      <c r="V12" s="117" t="s">
        <v>5</v>
      </c>
      <c r="W12" s="115" t="s">
        <v>339</v>
      </c>
      <c r="X12" s="115" t="s">
        <v>7</v>
      </c>
      <c r="Y12" s="124" t="s">
        <v>8</v>
      </c>
      <c r="Z12" s="120" t="s">
        <v>339</v>
      </c>
      <c r="AA12" s="120" t="s">
        <v>7</v>
      </c>
      <c r="AB12" s="124" t="s">
        <v>8</v>
      </c>
      <c r="AC12" s="123" t="s">
        <v>8</v>
      </c>
      <c r="AD12" s="124" t="s">
        <v>8</v>
      </c>
      <c r="AE12" s="124" t="s">
        <v>8</v>
      </c>
      <c r="AF12" s="131" t="s">
        <v>5</v>
      </c>
      <c r="AG12" s="127" t="s">
        <v>339</v>
      </c>
      <c r="AH12" s="89"/>
      <c r="AI12" s="41" t="s">
        <v>88</v>
      </c>
      <c r="AJ12" s="42"/>
    </row>
    <row r="13" spans="2:41" ht="87" customHeight="1" x14ac:dyDescent="0.2">
      <c r="B13" s="41" t="s">
        <v>89</v>
      </c>
      <c r="C13" s="42"/>
      <c r="D13" s="124" t="s">
        <v>8</v>
      </c>
      <c r="E13" s="32" t="s">
        <v>340</v>
      </c>
      <c r="F13" s="116" t="s">
        <v>439</v>
      </c>
      <c r="G13" s="119" t="s">
        <v>5</v>
      </c>
      <c r="H13" s="120" t="s">
        <v>6</v>
      </c>
      <c r="I13" s="120" t="s">
        <v>7</v>
      </c>
      <c r="J13" s="124" t="s">
        <v>8</v>
      </c>
      <c r="K13" s="120" t="s">
        <v>6</v>
      </c>
      <c r="L13" s="120" t="s">
        <v>7</v>
      </c>
      <c r="M13" s="123" t="s">
        <v>4</v>
      </c>
      <c r="N13" s="119" t="s">
        <v>5</v>
      </c>
      <c r="O13" s="120" t="s">
        <v>6</v>
      </c>
      <c r="P13" s="120" t="s">
        <v>7</v>
      </c>
      <c r="Q13" s="123" t="s">
        <v>8</v>
      </c>
      <c r="R13" s="120" t="s">
        <v>6</v>
      </c>
      <c r="S13" s="120" t="s">
        <v>7</v>
      </c>
      <c r="T13" s="120" t="s">
        <v>6</v>
      </c>
      <c r="U13" s="120" t="s">
        <v>7</v>
      </c>
      <c r="V13" s="116" t="s">
        <v>440</v>
      </c>
      <c r="W13" s="123" t="s">
        <v>8</v>
      </c>
      <c r="X13" s="119" t="s">
        <v>5</v>
      </c>
      <c r="Y13" s="120" t="s">
        <v>6</v>
      </c>
      <c r="Z13" s="115" t="s">
        <v>441</v>
      </c>
      <c r="AA13" s="116" t="s">
        <v>361</v>
      </c>
      <c r="AB13" s="116" t="s">
        <v>361</v>
      </c>
      <c r="AC13" s="117" t="s">
        <v>442</v>
      </c>
      <c r="AD13" s="115" t="s">
        <v>10</v>
      </c>
      <c r="AE13" s="115" t="s">
        <v>7</v>
      </c>
      <c r="AF13" s="132" t="s">
        <v>5</v>
      </c>
      <c r="AG13" s="130" t="s">
        <v>443</v>
      </c>
      <c r="AH13" s="92"/>
      <c r="AI13" s="41" t="s">
        <v>89</v>
      </c>
      <c r="AJ13" s="42"/>
    </row>
    <row r="14" spans="2:41" ht="64" x14ac:dyDescent="0.2">
      <c r="B14" s="41" t="s">
        <v>90</v>
      </c>
      <c r="C14" s="42"/>
      <c r="D14" s="120" t="s">
        <v>7</v>
      </c>
      <c r="E14" s="133" t="s">
        <v>362</v>
      </c>
      <c r="F14" s="120" t="s">
        <v>10</v>
      </c>
      <c r="G14" s="120" t="s">
        <v>7</v>
      </c>
      <c r="H14" s="123" t="s">
        <v>4</v>
      </c>
      <c r="I14" s="32" t="s">
        <v>340</v>
      </c>
      <c r="J14" s="120" t="s">
        <v>10</v>
      </c>
      <c r="K14" s="120" t="s">
        <v>7</v>
      </c>
      <c r="L14" s="123" t="s">
        <v>4</v>
      </c>
      <c r="M14" s="120" t="s">
        <v>10</v>
      </c>
      <c r="N14" s="116" t="s">
        <v>347</v>
      </c>
      <c r="O14" s="117" t="s">
        <v>443</v>
      </c>
      <c r="P14" s="117" t="s">
        <v>443</v>
      </c>
      <c r="Q14" s="117" t="s">
        <v>443</v>
      </c>
      <c r="R14" s="117" t="s">
        <v>443</v>
      </c>
      <c r="S14" s="117" t="s">
        <v>443</v>
      </c>
      <c r="T14" s="117" t="s">
        <v>5</v>
      </c>
      <c r="U14" s="117" t="s">
        <v>5</v>
      </c>
      <c r="V14" s="117" t="s">
        <v>5</v>
      </c>
      <c r="W14" s="117" t="s">
        <v>5</v>
      </c>
      <c r="X14" s="115" t="s">
        <v>10</v>
      </c>
      <c r="Y14" s="115" t="s">
        <v>7</v>
      </c>
      <c r="Z14" s="115" t="s">
        <v>10</v>
      </c>
      <c r="AA14" s="115" t="s">
        <v>7</v>
      </c>
      <c r="AB14" s="118" t="s">
        <v>4</v>
      </c>
      <c r="AC14" s="117" t="s">
        <v>5</v>
      </c>
      <c r="AD14" s="116" t="s">
        <v>444</v>
      </c>
      <c r="AE14" s="115" t="s">
        <v>7</v>
      </c>
      <c r="AF14" s="129" t="s">
        <v>4</v>
      </c>
      <c r="AG14" s="127" t="s">
        <v>10</v>
      </c>
      <c r="AH14" s="90"/>
      <c r="AI14" s="41" t="s">
        <v>90</v>
      </c>
      <c r="AJ14" s="42"/>
    </row>
    <row r="15" spans="2:41" ht="59" customHeight="1" x14ac:dyDescent="0.2">
      <c r="B15" s="41" t="s">
        <v>91</v>
      </c>
      <c r="C15" s="42"/>
      <c r="D15" s="123" t="s">
        <v>4</v>
      </c>
      <c r="E15" s="120" t="s">
        <v>10</v>
      </c>
      <c r="F15" s="120" t="s">
        <v>7</v>
      </c>
      <c r="G15" s="124" t="s">
        <v>4</v>
      </c>
      <c r="H15" s="119" t="s">
        <v>5</v>
      </c>
      <c r="I15" s="124" t="s">
        <v>4</v>
      </c>
      <c r="J15" s="119" t="s">
        <v>5</v>
      </c>
      <c r="K15" s="119" t="s">
        <v>5</v>
      </c>
      <c r="L15" s="120" t="s">
        <v>10</v>
      </c>
      <c r="M15" s="120" t="s">
        <v>7</v>
      </c>
      <c r="N15" s="120" t="s">
        <v>10</v>
      </c>
      <c r="O15" s="120" t="s">
        <v>7</v>
      </c>
      <c r="P15" s="124" t="s">
        <v>4</v>
      </c>
      <c r="Q15" s="134" t="s">
        <v>357</v>
      </c>
      <c r="R15" s="120" t="s">
        <v>7</v>
      </c>
      <c r="S15" s="124" t="s">
        <v>4</v>
      </c>
      <c r="T15" s="123" t="s">
        <v>4</v>
      </c>
      <c r="U15" s="120" t="s">
        <v>10</v>
      </c>
      <c r="V15" s="120" t="s">
        <v>7</v>
      </c>
      <c r="W15" s="120" t="s">
        <v>10</v>
      </c>
      <c r="X15" s="120" t="s">
        <v>7</v>
      </c>
      <c r="Y15" s="32" t="s">
        <v>340</v>
      </c>
      <c r="Z15" s="124" t="s">
        <v>4</v>
      </c>
      <c r="AA15" s="124" t="s">
        <v>4</v>
      </c>
      <c r="AB15" s="120" t="s">
        <v>10</v>
      </c>
      <c r="AC15" s="120" t="s">
        <v>7</v>
      </c>
      <c r="AD15" s="117" t="s">
        <v>358</v>
      </c>
      <c r="AE15" s="117" t="s">
        <v>5</v>
      </c>
      <c r="AF15" s="132" t="s">
        <v>5</v>
      </c>
      <c r="AG15" s="122" t="s">
        <v>4</v>
      </c>
      <c r="AH15" s="93"/>
      <c r="AI15" s="41" t="s">
        <v>91</v>
      </c>
      <c r="AJ15" s="42"/>
    </row>
    <row r="16" spans="2:41" ht="59" customHeight="1" x14ac:dyDescent="0.2">
      <c r="B16" s="41" t="s">
        <v>92</v>
      </c>
      <c r="C16" s="42"/>
      <c r="D16" s="124" t="s">
        <v>4</v>
      </c>
      <c r="E16" s="124" t="s">
        <v>4</v>
      </c>
      <c r="F16" s="119" t="s">
        <v>5</v>
      </c>
      <c r="G16" s="119" t="s">
        <v>5</v>
      </c>
      <c r="H16" s="120" t="s">
        <v>10</v>
      </c>
      <c r="I16" s="116" t="s">
        <v>347</v>
      </c>
      <c r="J16" s="117" t="s">
        <v>5</v>
      </c>
      <c r="K16" s="120" t="s">
        <v>10</v>
      </c>
      <c r="L16" s="120" t="s">
        <v>7</v>
      </c>
      <c r="M16" s="123" t="s">
        <v>4</v>
      </c>
      <c r="N16" s="124" t="s">
        <v>4</v>
      </c>
      <c r="O16" s="124" t="s">
        <v>4</v>
      </c>
      <c r="P16" s="119" t="s">
        <v>5</v>
      </c>
      <c r="Q16" s="124" t="s">
        <v>4</v>
      </c>
      <c r="R16" s="120" t="s">
        <v>10</v>
      </c>
      <c r="S16" s="120" t="s">
        <v>7</v>
      </c>
      <c r="T16" s="120" t="s">
        <v>10</v>
      </c>
      <c r="U16" s="120" t="s">
        <v>7</v>
      </c>
      <c r="V16" s="32" t="s">
        <v>340</v>
      </c>
      <c r="W16" s="124" t="s">
        <v>4</v>
      </c>
      <c r="X16" s="124" t="s">
        <v>4</v>
      </c>
      <c r="Y16" s="123" t="s">
        <v>4</v>
      </c>
      <c r="Z16" s="119" t="s">
        <v>5</v>
      </c>
      <c r="AA16" s="124" t="s">
        <v>4</v>
      </c>
      <c r="AB16" s="119" t="s">
        <v>5</v>
      </c>
      <c r="AC16" s="120" t="s">
        <v>10</v>
      </c>
      <c r="AD16" s="120" t="s">
        <v>7</v>
      </c>
      <c r="AE16" s="134" t="s">
        <v>357</v>
      </c>
      <c r="AF16" s="121" t="s">
        <v>7</v>
      </c>
      <c r="AG16" s="122" t="s">
        <v>4</v>
      </c>
      <c r="AH16" s="89"/>
      <c r="AI16" s="41" t="s">
        <v>92</v>
      </c>
      <c r="AJ16" s="42"/>
    </row>
    <row r="17" spans="2:36" ht="87" customHeight="1" x14ac:dyDescent="0.2">
      <c r="B17" s="41" t="s">
        <v>11</v>
      </c>
      <c r="C17" s="42"/>
      <c r="D17" s="120" t="s">
        <v>10</v>
      </c>
      <c r="E17" s="120" t="s">
        <v>7</v>
      </c>
      <c r="F17" s="124" t="s">
        <v>4</v>
      </c>
      <c r="G17" s="123" t="s">
        <v>4</v>
      </c>
      <c r="H17" s="124" t="s">
        <v>4</v>
      </c>
      <c r="I17" s="119" t="s">
        <v>5</v>
      </c>
      <c r="J17" s="124" t="s">
        <v>4</v>
      </c>
      <c r="K17" s="119" t="s">
        <v>5</v>
      </c>
      <c r="L17" s="117" t="s">
        <v>5</v>
      </c>
      <c r="M17" s="115" t="s">
        <v>363</v>
      </c>
      <c r="N17" s="115" t="s">
        <v>363</v>
      </c>
      <c r="O17" s="115" t="s">
        <v>363</v>
      </c>
      <c r="P17" s="120" t="s">
        <v>10</v>
      </c>
      <c r="Q17" s="120" t="s">
        <v>7</v>
      </c>
      <c r="R17" s="124" t="s">
        <v>4</v>
      </c>
      <c r="S17" s="119" t="s">
        <v>5</v>
      </c>
      <c r="T17" s="124" t="s">
        <v>4</v>
      </c>
      <c r="U17" s="124" t="s">
        <v>4</v>
      </c>
      <c r="V17" s="134" t="s">
        <v>357</v>
      </c>
      <c r="W17" s="120" t="s">
        <v>7</v>
      </c>
      <c r="X17" s="119" t="s">
        <v>5</v>
      </c>
      <c r="Y17" s="120" t="s">
        <v>10</v>
      </c>
      <c r="Z17" s="120" t="s">
        <v>7</v>
      </c>
      <c r="AA17" s="120" t="s">
        <v>10</v>
      </c>
      <c r="AB17" s="120" t="s">
        <v>7</v>
      </c>
      <c r="AC17" s="123" t="s">
        <v>4</v>
      </c>
      <c r="AD17" s="124" t="s">
        <v>4</v>
      </c>
      <c r="AE17" s="117" t="s">
        <v>5</v>
      </c>
      <c r="AF17" s="121" t="s">
        <v>10</v>
      </c>
      <c r="AG17" s="127" t="s">
        <v>7</v>
      </c>
      <c r="AH17" s="92"/>
      <c r="AI17" s="41" t="s">
        <v>11</v>
      </c>
      <c r="AJ17" s="42"/>
    </row>
    <row r="18" spans="2:36" ht="74" customHeight="1" x14ac:dyDescent="0.3">
      <c r="B18" s="41" t="s">
        <v>93</v>
      </c>
      <c r="C18" s="42"/>
      <c r="D18" s="135"/>
      <c r="E18" s="135"/>
      <c r="F18" s="136"/>
      <c r="G18" s="120" t="s">
        <v>445</v>
      </c>
      <c r="H18" s="120" t="s">
        <v>7</v>
      </c>
      <c r="I18" s="120" t="s">
        <v>445</v>
      </c>
      <c r="J18" s="120" t="s">
        <v>7</v>
      </c>
      <c r="K18" s="135"/>
      <c r="L18" s="135"/>
      <c r="M18" s="135"/>
      <c r="N18" s="135"/>
      <c r="O18" s="120" t="s">
        <v>446</v>
      </c>
      <c r="P18" s="120" t="s">
        <v>7</v>
      </c>
      <c r="Q18" s="135"/>
      <c r="R18" s="135"/>
      <c r="S18" s="120" t="s">
        <v>446</v>
      </c>
      <c r="T18" s="120" t="s">
        <v>96</v>
      </c>
      <c r="U18" s="136"/>
      <c r="V18" s="135"/>
      <c r="W18" s="135"/>
      <c r="X18" s="135"/>
      <c r="Y18" s="135"/>
      <c r="Z18" s="135"/>
      <c r="AA18" s="135"/>
      <c r="AB18" s="135"/>
      <c r="AC18" s="135"/>
      <c r="AD18" s="135"/>
      <c r="AE18" s="136"/>
      <c r="AF18" s="137"/>
      <c r="AG18" s="138"/>
      <c r="AH18" s="94"/>
      <c r="AI18" s="41" t="s">
        <v>93</v>
      </c>
      <c r="AJ18" s="42"/>
    </row>
    <row r="19" spans="2:36" ht="60" customHeight="1" thickBot="1" x14ac:dyDescent="0.25">
      <c r="B19" s="41" t="s">
        <v>364</v>
      </c>
      <c r="C19" s="42"/>
      <c r="D19" s="36" t="s">
        <v>447</v>
      </c>
      <c r="E19" s="107" t="s">
        <v>365</v>
      </c>
      <c r="F19" s="107" t="s">
        <v>4</v>
      </c>
      <c r="G19" s="107" t="s">
        <v>4</v>
      </c>
      <c r="H19" s="107" t="s">
        <v>4</v>
      </c>
      <c r="I19" s="34" t="s">
        <v>366</v>
      </c>
      <c r="J19" s="36" t="s">
        <v>366</v>
      </c>
      <c r="K19" s="36" t="s">
        <v>4</v>
      </c>
      <c r="L19" s="107" t="s">
        <v>4</v>
      </c>
      <c r="M19" s="107" t="s">
        <v>4</v>
      </c>
      <c r="N19" s="36" t="s">
        <v>4</v>
      </c>
      <c r="O19" s="36" t="s">
        <v>4</v>
      </c>
      <c r="P19" s="36" t="s">
        <v>366</v>
      </c>
      <c r="Q19" s="108" t="s">
        <v>367</v>
      </c>
      <c r="R19" s="36" t="s">
        <v>365</v>
      </c>
      <c r="S19" s="107" t="s">
        <v>4</v>
      </c>
      <c r="T19" s="107" t="s">
        <v>4</v>
      </c>
      <c r="U19" s="36" t="s">
        <v>4</v>
      </c>
      <c r="V19" s="36" t="s">
        <v>4</v>
      </c>
      <c r="W19" s="36" t="s">
        <v>366</v>
      </c>
      <c r="X19" s="36" t="s">
        <v>366</v>
      </c>
      <c r="Y19" s="36" t="s">
        <v>4</v>
      </c>
      <c r="Z19" s="107" t="s">
        <v>4</v>
      </c>
      <c r="AA19" s="107" t="s">
        <v>4</v>
      </c>
      <c r="AB19" s="107" t="s">
        <v>4</v>
      </c>
      <c r="AC19" s="36" t="s">
        <v>4</v>
      </c>
      <c r="AD19" s="36" t="s">
        <v>366</v>
      </c>
      <c r="AE19" s="36" t="s">
        <v>366</v>
      </c>
      <c r="AF19" s="36" t="s">
        <v>368</v>
      </c>
      <c r="AG19" s="107" t="s">
        <v>4</v>
      </c>
      <c r="AH19" s="89"/>
      <c r="AI19" s="41" t="s">
        <v>364</v>
      </c>
      <c r="AJ19" s="42"/>
    </row>
    <row r="20" spans="2:36" ht="18.5" x14ac:dyDescent="0.2">
      <c r="B20" s="230" t="s">
        <v>77</v>
      </c>
      <c r="C20" s="233" t="s">
        <v>78</v>
      </c>
      <c r="D20" s="52" t="s">
        <v>1</v>
      </c>
      <c r="E20" s="54"/>
      <c r="F20" s="54"/>
      <c r="G20" s="54"/>
      <c r="H20" s="54"/>
      <c r="I20" s="54" t="s">
        <v>130</v>
      </c>
      <c r="J20" s="52" t="s">
        <v>183</v>
      </c>
      <c r="K20" s="52"/>
      <c r="L20" s="54"/>
      <c r="M20" s="54"/>
      <c r="N20" s="54"/>
      <c r="O20" s="52"/>
      <c r="P20" s="52" t="s">
        <v>170</v>
      </c>
      <c r="Q20" s="54" t="s">
        <v>111</v>
      </c>
      <c r="R20" s="54"/>
      <c r="S20" s="54"/>
      <c r="T20" s="54"/>
      <c r="U20" s="54"/>
      <c r="V20" s="54"/>
      <c r="W20" s="54" t="s">
        <v>142</v>
      </c>
      <c r="X20" s="54" t="s">
        <v>158</v>
      </c>
      <c r="Y20" s="54"/>
      <c r="Z20" s="54"/>
      <c r="AA20" s="54"/>
      <c r="AB20" s="54"/>
      <c r="AC20" s="54"/>
      <c r="AD20" s="52" t="s">
        <v>183</v>
      </c>
      <c r="AE20" s="52" t="s">
        <v>121</v>
      </c>
      <c r="AF20" s="54"/>
      <c r="AG20" s="54"/>
      <c r="AH20" s="95"/>
      <c r="AI20" s="235" t="s">
        <v>78</v>
      </c>
      <c r="AJ20" s="237" t="s">
        <v>77</v>
      </c>
    </row>
    <row r="21" spans="2:36" ht="18.5" x14ac:dyDescent="0.2">
      <c r="B21" s="231"/>
      <c r="C21" s="234"/>
      <c r="D21" s="55" t="s">
        <v>1</v>
      </c>
      <c r="E21" s="57" t="s">
        <v>1</v>
      </c>
      <c r="F21" s="57" t="s">
        <v>1</v>
      </c>
      <c r="G21" s="57" t="s">
        <v>1</v>
      </c>
      <c r="H21" s="57" t="s">
        <v>1</v>
      </c>
      <c r="I21" s="57" t="s">
        <v>1</v>
      </c>
      <c r="J21" s="55" t="s">
        <v>1</v>
      </c>
      <c r="K21" s="55" t="s">
        <v>1</v>
      </c>
      <c r="L21" s="57" t="s">
        <v>1</v>
      </c>
      <c r="M21" s="57" t="s">
        <v>1</v>
      </c>
      <c r="N21" s="57" t="s">
        <v>1</v>
      </c>
      <c r="O21" s="55" t="s">
        <v>1</v>
      </c>
      <c r="P21" s="55" t="s">
        <v>1</v>
      </c>
      <c r="Q21" s="55" t="s">
        <v>1</v>
      </c>
      <c r="R21" s="57" t="s">
        <v>1</v>
      </c>
      <c r="S21" s="57" t="s">
        <v>1</v>
      </c>
      <c r="T21" s="57" t="s">
        <v>1</v>
      </c>
      <c r="U21" s="57" t="s">
        <v>1</v>
      </c>
      <c r="V21" s="57" t="s">
        <v>1</v>
      </c>
      <c r="W21" s="57" t="s">
        <v>1</v>
      </c>
      <c r="X21" s="57" t="s">
        <v>1</v>
      </c>
      <c r="Y21" s="57" t="s">
        <v>1</v>
      </c>
      <c r="Z21" s="57" t="s">
        <v>1</v>
      </c>
      <c r="AA21" s="57" t="s">
        <v>1</v>
      </c>
      <c r="AB21" s="57" t="s">
        <v>1</v>
      </c>
      <c r="AC21" s="57" t="s">
        <v>1</v>
      </c>
      <c r="AD21" s="57" t="s">
        <v>1</v>
      </c>
      <c r="AE21" s="57" t="s">
        <v>1</v>
      </c>
      <c r="AF21" s="57" t="s">
        <v>1</v>
      </c>
      <c r="AG21" s="57" t="s">
        <v>1</v>
      </c>
      <c r="AH21" s="96"/>
      <c r="AI21" s="236"/>
      <c r="AJ21" s="238"/>
    </row>
    <row r="22" spans="2:36" ht="18.5" x14ac:dyDescent="0.2">
      <c r="B22" s="231"/>
      <c r="C22" s="240" t="s">
        <v>79</v>
      </c>
      <c r="D22" s="58" t="s">
        <v>183</v>
      </c>
      <c r="E22" s="109" t="s">
        <v>111</v>
      </c>
      <c r="F22" s="109" t="s">
        <v>170</v>
      </c>
      <c r="G22" s="109" t="s">
        <v>263</v>
      </c>
      <c r="H22" s="109" t="s">
        <v>142</v>
      </c>
      <c r="I22" s="109" t="s">
        <v>130</v>
      </c>
      <c r="J22" s="58" t="s">
        <v>183</v>
      </c>
      <c r="K22" s="58" t="s">
        <v>158</v>
      </c>
      <c r="L22" s="109" t="s">
        <v>142</v>
      </c>
      <c r="M22" s="109" t="s">
        <v>121</v>
      </c>
      <c r="N22" s="109" t="s">
        <v>264</v>
      </c>
      <c r="O22" s="58" t="s">
        <v>158</v>
      </c>
      <c r="P22" s="58" t="s">
        <v>170</v>
      </c>
      <c r="Q22" s="58" t="s">
        <v>111</v>
      </c>
      <c r="R22" s="109" t="s">
        <v>142</v>
      </c>
      <c r="S22" s="109" t="s">
        <v>183</v>
      </c>
      <c r="T22" s="109" t="s">
        <v>170</v>
      </c>
      <c r="U22" s="109" t="s">
        <v>263</v>
      </c>
      <c r="V22" s="109" t="s">
        <v>121</v>
      </c>
      <c r="W22" s="109" t="s">
        <v>142</v>
      </c>
      <c r="X22" s="109" t="s">
        <v>158</v>
      </c>
      <c r="Y22" s="109" t="s">
        <v>183</v>
      </c>
      <c r="Z22" s="109" t="s">
        <v>142</v>
      </c>
      <c r="AA22" s="109" t="s">
        <v>121</v>
      </c>
      <c r="AB22" s="109" t="s">
        <v>413</v>
      </c>
      <c r="AC22" s="109" t="s">
        <v>111</v>
      </c>
      <c r="AD22" s="109" t="s">
        <v>183</v>
      </c>
      <c r="AE22" s="109" t="s">
        <v>121</v>
      </c>
      <c r="AF22" s="109" t="s">
        <v>158</v>
      </c>
      <c r="AG22" s="109" t="s">
        <v>111</v>
      </c>
      <c r="AH22" s="97"/>
      <c r="AI22" s="242" t="s">
        <v>79</v>
      </c>
      <c r="AJ22" s="238"/>
    </row>
    <row r="23" spans="2:36" ht="19" thickBot="1" x14ac:dyDescent="0.25">
      <c r="B23" s="232"/>
      <c r="C23" s="241"/>
      <c r="D23" s="59" t="s">
        <v>1</v>
      </c>
      <c r="E23" s="110" t="s">
        <v>1</v>
      </c>
      <c r="F23" s="110" t="s">
        <v>1</v>
      </c>
      <c r="G23" s="110" t="s">
        <v>1</v>
      </c>
      <c r="H23" s="110" t="s">
        <v>1</v>
      </c>
      <c r="I23" s="110" t="s">
        <v>1</v>
      </c>
      <c r="J23" s="59" t="s">
        <v>1</v>
      </c>
      <c r="K23" s="59" t="s">
        <v>1</v>
      </c>
      <c r="L23" s="110" t="s">
        <v>1</v>
      </c>
      <c r="M23" s="110" t="s">
        <v>1</v>
      </c>
      <c r="N23" s="110" t="s">
        <v>1</v>
      </c>
      <c r="O23" s="59" t="s">
        <v>1</v>
      </c>
      <c r="P23" s="59" t="s">
        <v>1</v>
      </c>
      <c r="Q23" s="59" t="s">
        <v>1</v>
      </c>
      <c r="R23" s="110" t="s">
        <v>1</v>
      </c>
      <c r="S23" s="110" t="s">
        <v>1</v>
      </c>
      <c r="T23" s="110" t="s">
        <v>1</v>
      </c>
      <c r="U23" s="110" t="s">
        <v>1</v>
      </c>
      <c r="V23" s="110" t="s">
        <v>1</v>
      </c>
      <c r="W23" s="110" t="s">
        <v>1</v>
      </c>
      <c r="X23" s="110" t="s">
        <v>1</v>
      </c>
      <c r="Y23" s="110" t="s">
        <v>1</v>
      </c>
      <c r="Z23" s="110" t="s">
        <v>1</v>
      </c>
      <c r="AA23" s="110" t="s">
        <v>1</v>
      </c>
      <c r="AB23" s="110" t="s">
        <v>1</v>
      </c>
      <c r="AC23" s="110" t="s">
        <v>1</v>
      </c>
      <c r="AD23" s="110" t="s">
        <v>1</v>
      </c>
      <c r="AE23" s="110" t="s">
        <v>1</v>
      </c>
      <c r="AF23" s="110" t="s">
        <v>1</v>
      </c>
      <c r="AG23" s="110" t="s">
        <v>1</v>
      </c>
      <c r="AH23" s="98"/>
      <c r="AI23" s="243"/>
      <c r="AJ23" s="239"/>
    </row>
    <row r="24" spans="2:36" ht="18.5" x14ac:dyDescent="0.2">
      <c r="B24" s="230" t="s">
        <v>80</v>
      </c>
      <c r="C24" s="233" t="s">
        <v>78</v>
      </c>
      <c r="D24" s="60" t="s">
        <v>1</v>
      </c>
      <c r="E24" s="54"/>
      <c r="F24" s="54"/>
      <c r="G24" s="54"/>
      <c r="H24" s="54"/>
      <c r="I24" s="54" t="s">
        <v>18</v>
      </c>
      <c r="J24" s="52" t="s">
        <v>18</v>
      </c>
      <c r="K24" s="52"/>
      <c r="L24" s="54"/>
      <c r="M24" s="54"/>
      <c r="N24" s="54"/>
      <c r="O24" s="52"/>
      <c r="P24" s="52" t="s">
        <v>16</v>
      </c>
      <c r="Q24" s="54" t="s">
        <v>17</v>
      </c>
      <c r="R24" s="54"/>
      <c r="S24" s="54"/>
      <c r="T24" s="54"/>
      <c r="U24" s="54"/>
      <c r="V24" s="54"/>
      <c r="W24" s="54" t="s">
        <v>15</v>
      </c>
      <c r="X24" s="54" t="s">
        <v>16</v>
      </c>
      <c r="Y24" s="54"/>
      <c r="Z24" s="54"/>
      <c r="AA24" s="54"/>
      <c r="AB24" s="54"/>
      <c r="AC24" s="54"/>
      <c r="AD24" s="52" t="s">
        <v>17</v>
      </c>
      <c r="AE24" s="52" t="s">
        <v>15</v>
      </c>
      <c r="AF24" s="54"/>
      <c r="AG24" s="54"/>
      <c r="AH24" s="95"/>
      <c r="AI24" s="235" t="s">
        <v>78</v>
      </c>
      <c r="AJ24" s="237" t="s">
        <v>80</v>
      </c>
    </row>
    <row r="25" spans="2:36" ht="18.5" x14ac:dyDescent="0.2">
      <c r="B25" s="231"/>
      <c r="C25" s="234"/>
      <c r="D25" s="55" t="s">
        <v>1</v>
      </c>
      <c r="E25" s="57"/>
      <c r="F25" s="57"/>
      <c r="G25" s="57"/>
      <c r="H25" s="57"/>
      <c r="I25" s="57"/>
      <c r="J25" s="55"/>
      <c r="K25" s="55"/>
      <c r="L25" s="57"/>
      <c r="M25" s="57"/>
      <c r="N25" s="57"/>
      <c r="O25" s="55"/>
      <c r="P25" s="55"/>
      <c r="Q25" s="55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96"/>
      <c r="AI25" s="236"/>
      <c r="AJ25" s="238"/>
    </row>
    <row r="26" spans="2:36" ht="18.5" x14ac:dyDescent="0.2">
      <c r="B26" s="231"/>
      <c r="C26" s="240" t="s">
        <v>79</v>
      </c>
      <c r="D26" s="60" t="s">
        <v>17</v>
      </c>
      <c r="E26" s="62" t="s">
        <v>18</v>
      </c>
      <c r="F26" s="62" t="s">
        <v>16</v>
      </c>
      <c r="G26" s="62" t="s">
        <v>17</v>
      </c>
      <c r="H26" s="62" t="s">
        <v>16</v>
      </c>
      <c r="I26" s="62" t="s">
        <v>18</v>
      </c>
      <c r="J26" s="60" t="s">
        <v>19</v>
      </c>
      <c r="K26" s="60" t="s">
        <v>15</v>
      </c>
      <c r="L26" s="62" t="s">
        <v>17</v>
      </c>
      <c r="M26" s="62" t="s">
        <v>18</v>
      </c>
      <c r="N26" s="62" t="s">
        <v>15</v>
      </c>
      <c r="O26" s="60" t="s">
        <v>17</v>
      </c>
      <c r="P26" s="60" t="s">
        <v>16</v>
      </c>
      <c r="Q26" s="60" t="s">
        <v>19</v>
      </c>
      <c r="R26" s="62" t="s">
        <v>18</v>
      </c>
      <c r="S26" s="62" t="s">
        <v>15</v>
      </c>
      <c r="T26" s="62" t="s">
        <v>17</v>
      </c>
      <c r="U26" s="62" t="s">
        <v>16</v>
      </c>
      <c r="V26" s="62" t="s">
        <v>18</v>
      </c>
      <c r="W26" s="62" t="s">
        <v>15</v>
      </c>
      <c r="X26" s="62" t="s">
        <v>19</v>
      </c>
      <c r="Y26" s="62" t="s">
        <v>16</v>
      </c>
      <c r="Z26" s="62" t="s">
        <v>17</v>
      </c>
      <c r="AA26" s="62" t="s">
        <v>15</v>
      </c>
      <c r="AB26" s="62" t="s">
        <v>18</v>
      </c>
      <c r="AC26" s="62" t="s">
        <v>15</v>
      </c>
      <c r="AD26" s="62" t="s">
        <v>17</v>
      </c>
      <c r="AE26" s="62" t="s">
        <v>19</v>
      </c>
      <c r="AF26" s="62" t="s">
        <v>16</v>
      </c>
      <c r="AG26" s="62" t="s">
        <v>18</v>
      </c>
      <c r="AH26" s="99"/>
      <c r="AI26" s="242" t="s">
        <v>79</v>
      </c>
      <c r="AJ26" s="238"/>
    </row>
    <row r="27" spans="2:36" ht="19" thickBot="1" x14ac:dyDescent="0.25">
      <c r="B27" s="232"/>
      <c r="C27" s="241"/>
      <c r="D27" s="59"/>
      <c r="E27" s="110"/>
      <c r="F27" s="110"/>
      <c r="G27" s="110"/>
      <c r="H27" s="110"/>
      <c r="I27" s="110"/>
      <c r="J27" s="59"/>
      <c r="K27" s="59"/>
      <c r="L27" s="110"/>
      <c r="M27" s="110"/>
      <c r="N27" s="110"/>
      <c r="O27" s="59"/>
      <c r="P27" s="59"/>
      <c r="Q27" s="59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98"/>
      <c r="AI27" s="243"/>
      <c r="AJ27" s="239"/>
    </row>
    <row r="28" spans="2:36" ht="23.5" customHeight="1" x14ac:dyDescent="0.2">
      <c r="B28" s="244" t="s">
        <v>81</v>
      </c>
      <c r="C28" s="233" t="s">
        <v>82</v>
      </c>
      <c r="D28" s="60" t="s">
        <v>1</v>
      </c>
      <c r="E28" s="62"/>
      <c r="F28" s="62"/>
      <c r="G28" s="62"/>
      <c r="H28" s="62"/>
      <c r="I28" s="62" t="s">
        <v>269</v>
      </c>
      <c r="J28" s="62" t="s">
        <v>269</v>
      </c>
      <c r="K28" s="62"/>
      <c r="L28" s="62"/>
      <c r="M28" s="62"/>
      <c r="N28" s="62"/>
      <c r="O28" s="62"/>
      <c r="P28" s="62" t="s">
        <v>270</v>
      </c>
      <c r="Q28" s="62" t="s">
        <v>270</v>
      </c>
      <c r="R28" s="62"/>
      <c r="S28" s="62"/>
      <c r="T28" s="62"/>
      <c r="U28" s="62"/>
      <c r="V28" s="62"/>
      <c r="W28" s="62" t="s">
        <v>269</v>
      </c>
      <c r="X28" s="62" t="s">
        <v>270</v>
      </c>
      <c r="Y28" s="62"/>
      <c r="Z28" s="62"/>
      <c r="AA28" s="62"/>
      <c r="AB28" s="54"/>
      <c r="AC28" s="54"/>
      <c r="AD28" s="62" t="s">
        <v>269</v>
      </c>
      <c r="AE28" s="62" t="s">
        <v>269</v>
      </c>
      <c r="AF28" s="54"/>
      <c r="AG28" s="62"/>
      <c r="AH28" s="99"/>
      <c r="AI28" s="235" t="s">
        <v>82</v>
      </c>
      <c r="AJ28" s="247" t="s">
        <v>81</v>
      </c>
    </row>
    <row r="29" spans="2:36" ht="23.5" customHeight="1" x14ac:dyDescent="0.2">
      <c r="B29" s="245"/>
      <c r="C29" s="234"/>
      <c r="D29" s="60" t="s">
        <v>1</v>
      </c>
      <c r="E29" s="62"/>
      <c r="F29" s="62"/>
      <c r="G29" s="62"/>
      <c r="H29" s="62"/>
      <c r="I29" s="62" t="s">
        <v>417</v>
      </c>
      <c r="J29" s="62" t="s">
        <v>420</v>
      </c>
      <c r="K29" s="62"/>
      <c r="L29" s="62"/>
      <c r="M29" s="62"/>
      <c r="N29" s="62"/>
      <c r="O29" s="62"/>
      <c r="P29" s="62" t="s">
        <v>418</v>
      </c>
      <c r="Q29" s="62" t="s">
        <v>419</v>
      </c>
      <c r="R29" s="62"/>
      <c r="S29" s="62"/>
      <c r="T29" s="62"/>
      <c r="U29" s="62"/>
      <c r="V29" s="62"/>
      <c r="W29" s="62" t="s">
        <v>421</v>
      </c>
      <c r="X29" s="62" t="s">
        <v>422</v>
      </c>
      <c r="Y29" s="62"/>
      <c r="Z29" s="62"/>
      <c r="AA29" s="62"/>
      <c r="AB29" s="63"/>
      <c r="AC29" s="63"/>
      <c r="AD29" s="62" t="s">
        <v>423</v>
      </c>
      <c r="AE29" s="62" t="s">
        <v>424</v>
      </c>
      <c r="AF29" s="63"/>
      <c r="AG29" s="62"/>
      <c r="AH29" s="99"/>
      <c r="AI29" s="236"/>
      <c r="AJ29" s="248"/>
    </row>
    <row r="30" spans="2:36" ht="23.5" customHeight="1" x14ac:dyDescent="0.2">
      <c r="B30" s="245"/>
      <c r="C30" s="250" t="s">
        <v>83</v>
      </c>
      <c r="D30" s="58" t="s">
        <v>1</v>
      </c>
      <c r="E30" s="109"/>
      <c r="F30" s="109"/>
      <c r="G30" s="109"/>
      <c r="H30" s="109"/>
      <c r="I30" s="109" t="s">
        <v>28</v>
      </c>
      <c r="J30" s="58" t="s">
        <v>112</v>
      </c>
      <c r="K30" s="58"/>
      <c r="L30" s="109"/>
      <c r="M30" s="109"/>
      <c r="N30" s="109"/>
      <c r="O30" s="58"/>
      <c r="P30" s="58" t="s">
        <v>48</v>
      </c>
      <c r="Q30" s="109" t="s">
        <v>31</v>
      </c>
      <c r="R30" s="109"/>
      <c r="S30" s="109"/>
      <c r="T30" s="109"/>
      <c r="U30" s="109"/>
      <c r="V30" s="109"/>
      <c r="W30" s="109" t="s">
        <v>50</v>
      </c>
      <c r="X30" s="109" t="s">
        <v>112</v>
      </c>
      <c r="Y30" s="109"/>
      <c r="Z30" s="109"/>
      <c r="AA30" s="109"/>
      <c r="AB30" s="109"/>
      <c r="AC30" s="109"/>
      <c r="AD30" s="58" t="s">
        <v>32</v>
      </c>
      <c r="AE30" s="58" t="s">
        <v>53</v>
      </c>
      <c r="AF30" s="109"/>
      <c r="AG30" s="109"/>
      <c r="AH30" s="100"/>
      <c r="AI30" s="252" t="s">
        <v>83</v>
      </c>
      <c r="AJ30" s="248"/>
    </row>
    <row r="31" spans="2:36" ht="23.5" customHeight="1" thickBot="1" x14ac:dyDescent="0.25">
      <c r="B31" s="246"/>
      <c r="C31" s="251"/>
      <c r="D31" s="66" t="s">
        <v>1</v>
      </c>
      <c r="E31" s="111"/>
      <c r="F31" s="111"/>
      <c r="G31" s="111"/>
      <c r="H31" s="111"/>
      <c r="I31" s="111" t="s">
        <v>36</v>
      </c>
      <c r="J31" s="66" t="s">
        <v>150</v>
      </c>
      <c r="K31" s="66"/>
      <c r="L31" s="111"/>
      <c r="M31" s="111"/>
      <c r="N31" s="111"/>
      <c r="O31" s="66"/>
      <c r="P31" s="66" t="s">
        <v>156</v>
      </c>
      <c r="Q31" s="111" t="s">
        <v>242</v>
      </c>
      <c r="R31" s="111"/>
      <c r="S31" s="111"/>
      <c r="T31" s="111"/>
      <c r="U31" s="111"/>
      <c r="V31" s="111"/>
      <c r="W31" s="111" t="s">
        <v>184</v>
      </c>
      <c r="X31" s="111" t="s">
        <v>113</v>
      </c>
      <c r="Y31" s="111"/>
      <c r="Z31" s="111"/>
      <c r="AA31" s="111"/>
      <c r="AB31" s="111"/>
      <c r="AC31" s="111"/>
      <c r="AD31" s="66" t="s">
        <v>401</v>
      </c>
      <c r="AE31" s="66" t="s">
        <v>219</v>
      </c>
      <c r="AF31" s="111"/>
      <c r="AG31" s="111"/>
      <c r="AH31" s="101"/>
      <c r="AI31" s="253"/>
      <c r="AJ31" s="249"/>
    </row>
    <row r="32" spans="2:36" ht="23.5" customHeight="1" x14ac:dyDescent="0.2">
      <c r="B32" s="254" t="s">
        <v>84</v>
      </c>
      <c r="C32" s="256" t="s">
        <v>82</v>
      </c>
      <c r="D32" s="69" t="s">
        <v>269</v>
      </c>
      <c r="E32" s="62" t="s">
        <v>269</v>
      </c>
      <c r="F32" s="62" t="s">
        <v>270</v>
      </c>
      <c r="G32" s="62" t="s">
        <v>270</v>
      </c>
      <c r="H32" s="60" t="s">
        <v>270</v>
      </c>
      <c r="I32" s="62" t="s">
        <v>269</v>
      </c>
      <c r="J32" s="62" t="s">
        <v>269</v>
      </c>
      <c r="K32" s="62" t="s">
        <v>269</v>
      </c>
      <c r="L32" s="62" t="s">
        <v>270</v>
      </c>
      <c r="M32" s="62" t="s">
        <v>269</v>
      </c>
      <c r="N32" s="62" t="s">
        <v>270</v>
      </c>
      <c r="O32" s="62" t="s">
        <v>269</v>
      </c>
      <c r="P32" s="60" t="s">
        <v>270</v>
      </c>
      <c r="Q32" s="62" t="s">
        <v>269</v>
      </c>
      <c r="R32" s="62" t="s">
        <v>270</v>
      </c>
      <c r="S32" s="62" t="s">
        <v>269</v>
      </c>
      <c r="T32" s="62" t="s">
        <v>269</v>
      </c>
      <c r="U32" s="62" t="s">
        <v>270</v>
      </c>
      <c r="V32" s="62" t="s">
        <v>270</v>
      </c>
      <c r="W32" s="62" t="s">
        <v>269</v>
      </c>
      <c r="X32" s="62" t="s">
        <v>270</v>
      </c>
      <c r="Y32" s="62" t="s">
        <v>269</v>
      </c>
      <c r="Z32" s="62" t="s">
        <v>270</v>
      </c>
      <c r="AA32" s="62" t="s">
        <v>269</v>
      </c>
      <c r="AB32" s="62" t="s">
        <v>269</v>
      </c>
      <c r="AC32" s="62" t="s">
        <v>270</v>
      </c>
      <c r="AD32" s="62" t="s">
        <v>270</v>
      </c>
      <c r="AE32" s="62" t="s">
        <v>269</v>
      </c>
      <c r="AF32" s="62" t="s">
        <v>269</v>
      </c>
      <c r="AG32" s="62" t="s">
        <v>269</v>
      </c>
      <c r="AH32" s="99"/>
      <c r="AI32" s="258" t="s">
        <v>82</v>
      </c>
      <c r="AJ32" s="260" t="s">
        <v>84</v>
      </c>
    </row>
    <row r="33" spans="2:36" ht="23.5" customHeight="1" x14ac:dyDescent="0.2">
      <c r="B33" s="254"/>
      <c r="C33" s="257"/>
      <c r="D33" s="70" t="s">
        <v>273</v>
      </c>
      <c r="E33" s="63" t="s">
        <v>414</v>
      </c>
      <c r="F33" s="63" t="s">
        <v>41</v>
      </c>
      <c r="G33" s="63" t="s">
        <v>24</v>
      </c>
      <c r="H33" s="63" t="s">
        <v>25</v>
      </c>
      <c r="I33" s="71" t="s">
        <v>279</v>
      </c>
      <c r="J33" s="71" t="s">
        <v>280</v>
      </c>
      <c r="K33" s="71" t="s">
        <v>281</v>
      </c>
      <c r="L33" s="63" t="s">
        <v>21</v>
      </c>
      <c r="M33" s="63" t="s">
        <v>415</v>
      </c>
      <c r="N33" s="63" t="s">
        <v>42</v>
      </c>
      <c r="O33" s="71" t="s">
        <v>278</v>
      </c>
      <c r="P33" s="71" t="s">
        <v>271</v>
      </c>
      <c r="Q33" s="71" t="s">
        <v>273</v>
      </c>
      <c r="R33" s="63" t="s">
        <v>24</v>
      </c>
      <c r="S33" s="63" t="s">
        <v>281</v>
      </c>
      <c r="T33" s="63" t="s">
        <v>282</v>
      </c>
      <c r="U33" s="63" t="s">
        <v>21</v>
      </c>
      <c r="V33" s="63" t="s">
        <v>43</v>
      </c>
      <c r="W33" s="63" t="s">
        <v>279</v>
      </c>
      <c r="X33" s="63" t="s">
        <v>416</v>
      </c>
      <c r="Y33" s="63" t="s">
        <v>277</v>
      </c>
      <c r="Z33" s="63" t="s">
        <v>25</v>
      </c>
      <c r="AA33" s="63" t="s">
        <v>212</v>
      </c>
      <c r="AB33" s="63" t="s">
        <v>414</v>
      </c>
      <c r="AC33" s="63" t="s">
        <v>271</v>
      </c>
      <c r="AD33" s="63" t="s">
        <v>42</v>
      </c>
      <c r="AE33" s="63" t="s">
        <v>278</v>
      </c>
      <c r="AF33" s="63" t="s">
        <v>415</v>
      </c>
      <c r="AG33" s="63" t="s">
        <v>280</v>
      </c>
      <c r="AH33" s="102"/>
      <c r="AI33" s="259"/>
      <c r="AJ33" s="260"/>
    </row>
    <row r="34" spans="2:36" ht="23.5" customHeight="1" x14ac:dyDescent="0.2">
      <c r="B34" s="254"/>
      <c r="C34" s="256" t="s">
        <v>83</v>
      </c>
      <c r="D34" s="69" t="s">
        <v>50</v>
      </c>
      <c r="E34" s="62" t="s">
        <v>53</v>
      </c>
      <c r="F34" s="62" t="s">
        <v>52</v>
      </c>
      <c r="G34" s="62" t="s">
        <v>51</v>
      </c>
      <c r="H34" s="62" t="s">
        <v>45</v>
      </c>
      <c r="I34" s="60" t="s">
        <v>383</v>
      </c>
      <c r="J34" s="60" t="s">
        <v>46</v>
      </c>
      <c r="K34" s="60" t="s">
        <v>384</v>
      </c>
      <c r="L34" s="62" t="s">
        <v>48</v>
      </c>
      <c r="M34" s="62" t="s">
        <v>44</v>
      </c>
      <c r="N34" s="62" t="s">
        <v>52</v>
      </c>
      <c r="O34" s="60" t="s">
        <v>29</v>
      </c>
      <c r="P34" s="60" t="s">
        <v>26</v>
      </c>
      <c r="Q34" s="60" t="s">
        <v>54</v>
      </c>
      <c r="R34" s="62" t="s">
        <v>27</v>
      </c>
      <c r="S34" s="62" t="s">
        <v>49</v>
      </c>
      <c r="T34" s="62" t="s">
        <v>50</v>
      </c>
      <c r="U34" s="62" t="s">
        <v>209</v>
      </c>
      <c r="V34" s="62" t="s">
        <v>48</v>
      </c>
      <c r="W34" s="62" t="s">
        <v>30</v>
      </c>
      <c r="X34" s="62" t="s">
        <v>28</v>
      </c>
      <c r="Y34" s="62" t="s">
        <v>385</v>
      </c>
      <c r="Z34" s="62" t="s">
        <v>51</v>
      </c>
      <c r="AA34" s="62" t="s">
        <v>34</v>
      </c>
      <c r="AB34" s="62" t="s">
        <v>28</v>
      </c>
      <c r="AC34" s="62" t="s">
        <v>46</v>
      </c>
      <c r="AD34" s="62" t="s">
        <v>47</v>
      </c>
      <c r="AE34" s="62" t="s">
        <v>49</v>
      </c>
      <c r="AF34" s="62" t="s">
        <v>48</v>
      </c>
      <c r="AG34" s="62" t="s">
        <v>53</v>
      </c>
      <c r="AH34" s="103"/>
      <c r="AI34" s="258" t="s">
        <v>83</v>
      </c>
      <c r="AJ34" s="260"/>
    </row>
    <row r="35" spans="2:36" ht="23.5" customHeight="1" thickBot="1" x14ac:dyDescent="0.25">
      <c r="B35" s="255"/>
      <c r="C35" s="241"/>
      <c r="D35" s="73" t="s">
        <v>386</v>
      </c>
      <c r="E35" s="111" t="s">
        <v>236</v>
      </c>
      <c r="F35" s="111" t="s">
        <v>147</v>
      </c>
      <c r="G35" s="111" t="s">
        <v>235</v>
      </c>
      <c r="H35" s="111" t="s">
        <v>171</v>
      </c>
      <c r="I35" s="66" t="s">
        <v>387</v>
      </c>
      <c r="J35" s="66" t="s">
        <v>56</v>
      </c>
      <c r="K35" s="66" t="s">
        <v>388</v>
      </c>
      <c r="L35" s="111" t="s">
        <v>389</v>
      </c>
      <c r="M35" s="111" t="s">
        <v>55</v>
      </c>
      <c r="N35" s="111" t="s">
        <v>390</v>
      </c>
      <c r="O35" s="66" t="s">
        <v>391</v>
      </c>
      <c r="P35" s="66" t="s">
        <v>198</v>
      </c>
      <c r="Q35" s="66" t="s">
        <v>392</v>
      </c>
      <c r="R35" s="111" t="s">
        <v>66</v>
      </c>
      <c r="S35" s="111" t="s">
        <v>393</v>
      </c>
      <c r="T35" s="111" t="s">
        <v>394</v>
      </c>
      <c r="U35" s="111" t="s">
        <v>210</v>
      </c>
      <c r="V35" s="111" t="s">
        <v>395</v>
      </c>
      <c r="W35" s="111" t="s">
        <v>233</v>
      </c>
      <c r="X35" s="111" t="s">
        <v>396</v>
      </c>
      <c r="Y35" s="111" t="s">
        <v>397</v>
      </c>
      <c r="Z35" s="111" t="s">
        <v>398</v>
      </c>
      <c r="AA35" s="111" t="s">
        <v>399</v>
      </c>
      <c r="AB35" s="111" t="s">
        <v>400</v>
      </c>
      <c r="AC35" s="111" t="s">
        <v>206</v>
      </c>
      <c r="AD35" s="111" t="s">
        <v>57</v>
      </c>
      <c r="AE35" s="111" t="s">
        <v>402</v>
      </c>
      <c r="AF35" s="111" t="s">
        <v>403</v>
      </c>
      <c r="AG35" s="111" t="s">
        <v>404</v>
      </c>
      <c r="AH35" s="104"/>
      <c r="AI35" s="243"/>
      <c r="AJ35" s="261"/>
    </row>
    <row r="36" spans="2:36" ht="23" customHeight="1" x14ac:dyDescent="0.2">
      <c r="B36" s="230" t="s">
        <v>67</v>
      </c>
      <c r="C36" s="233" t="s">
        <v>12</v>
      </c>
      <c r="D36" s="62"/>
      <c r="E36" s="62"/>
      <c r="F36" s="62"/>
      <c r="G36" s="62"/>
      <c r="H36" s="62"/>
      <c r="I36" s="62" t="s">
        <v>369</v>
      </c>
      <c r="J36" s="54" t="s">
        <v>375</v>
      </c>
      <c r="K36" s="54"/>
      <c r="L36" s="62"/>
      <c r="M36" s="62"/>
      <c r="N36" s="54"/>
      <c r="O36" s="54"/>
      <c r="P36" s="54" t="s">
        <v>73</v>
      </c>
      <c r="Q36" s="54" t="s">
        <v>375</v>
      </c>
      <c r="R36" s="54"/>
      <c r="S36" s="62"/>
      <c r="T36" s="62"/>
      <c r="U36" s="54"/>
      <c r="V36" s="54"/>
      <c r="W36" s="54" t="s">
        <v>370</v>
      </c>
      <c r="X36" s="54" t="s">
        <v>375</v>
      </c>
      <c r="Y36" s="54"/>
      <c r="Z36" s="62"/>
      <c r="AA36" s="62"/>
      <c r="AB36" s="54"/>
      <c r="AC36" s="54"/>
      <c r="AD36" s="54" t="s">
        <v>36</v>
      </c>
      <c r="AE36" s="54" t="s">
        <v>375</v>
      </c>
      <c r="AF36" s="54"/>
      <c r="AG36" s="62"/>
      <c r="AH36" s="99"/>
      <c r="AI36" s="235" t="s">
        <v>12</v>
      </c>
      <c r="AJ36" s="237" t="s">
        <v>67</v>
      </c>
    </row>
    <row r="37" spans="2:36" ht="23" customHeight="1" x14ac:dyDescent="0.2">
      <c r="B37" s="231"/>
      <c r="C37" s="234"/>
      <c r="D37" s="57"/>
      <c r="E37" s="57"/>
      <c r="F37" s="57"/>
      <c r="G37" s="112"/>
      <c r="H37" s="57"/>
      <c r="I37" s="112"/>
      <c r="J37" s="57" t="s">
        <v>374</v>
      </c>
      <c r="K37" s="57"/>
      <c r="L37" s="57"/>
      <c r="M37" s="57"/>
      <c r="N37" s="57"/>
      <c r="O37" s="57"/>
      <c r="P37" s="57"/>
      <c r="Q37" s="57" t="s">
        <v>376</v>
      </c>
      <c r="R37" s="57"/>
      <c r="S37" s="112"/>
      <c r="T37" s="57"/>
      <c r="U37" s="57"/>
      <c r="V37" s="57"/>
      <c r="W37" s="57"/>
      <c r="X37" s="57" t="s">
        <v>377</v>
      </c>
      <c r="Y37" s="57"/>
      <c r="Z37" s="112"/>
      <c r="AA37" s="57"/>
      <c r="AB37" s="57"/>
      <c r="AC37" s="57"/>
      <c r="AD37" s="57"/>
      <c r="AE37" s="57" t="s">
        <v>378</v>
      </c>
      <c r="AF37" s="57"/>
      <c r="AG37" s="112"/>
      <c r="AH37" s="96"/>
      <c r="AI37" s="236"/>
      <c r="AJ37" s="238"/>
    </row>
    <row r="38" spans="2:36" ht="23" customHeight="1" x14ac:dyDescent="0.2">
      <c r="B38" s="231"/>
      <c r="C38" s="240" t="s">
        <v>14</v>
      </c>
      <c r="D38" s="113" t="s">
        <v>369</v>
      </c>
      <c r="E38" s="113" t="s">
        <v>74</v>
      </c>
      <c r="F38" s="113" t="s">
        <v>370</v>
      </c>
      <c r="G38" s="113" t="s">
        <v>375</v>
      </c>
      <c r="H38" s="113" t="s">
        <v>74</v>
      </c>
      <c r="I38" s="114" t="s">
        <v>369</v>
      </c>
      <c r="J38" s="113" t="s">
        <v>375</v>
      </c>
      <c r="K38" s="113" t="s">
        <v>36</v>
      </c>
      <c r="L38" s="113" t="s">
        <v>369</v>
      </c>
      <c r="M38" s="113" t="s">
        <v>370</v>
      </c>
      <c r="N38" s="113" t="s">
        <v>375</v>
      </c>
      <c r="O38" s="113" t="s">
        <v>371</v>
      </c>
      <c r="P38" s="113" t="s">
        <v>73</v>
      </c>
      <c r="Q38" s="114" t="s">
        <v>375</v>
      </c>
      <c r="R38" s="113" t="s">
        <v>36</v>
      </c>
      <c r="S38" s="113" t="s">
        <v>74</v>
      </c>
      <c r="T38" s="113" t="s">
        <v>369</v>
      </c>
      <c r="U38" s="113" t="s">
        <v>375</v>
      </c>
      <c r="V38" s="113" t="s">
        <v>372</v>
      </c>
      <c r="W38" s="113" t="s">
        <v>370</v>
      </c>
      <c r="X38" s="113" t="s">
        <v>375</v>
      </c>
      <c r="Y38" s="113" t="s">
        <v>369</v>
      </c>
      <c r="Z38" s="113" t="s">
        <v>36</v>
      </c>
      <c r="AA38" s="113" t="s">
        <v>74</v>
      </c>
      <c r="AB38" s="113" t="s">
        <v>375</v>
      </c>
      <c r="AC38" s="113" t="s">
        <v>373</v>
      </c>
      <c r="AD38" s="113" t="s">
        <v>36</v>
      </c>
      <c r="AE38" s="113" t="s">
        <v>375</v>
      </c>
      <c r="AF38" s="113" t="s">
        <v>370</v>
      </c>
      <c r="AG38" s="113" t="s">
        <v>373</v>
      </c>
      <c r="AH38" s="105"/>
      <c r="AI38" s="242" t="s">
        <v>14</v>
      </c>
      <c r="AJ38" s="238"/>
    </row>
    <row r="39" spans="2:36" ht="23" customHeight="1" thickBot="1" x14ac:dyDescent="0.25">
      <c r="B39" s="232"/>
      <c r="C39" s="241"/>
      <c r="D39" s="78"/>
      <c r="E39" s="79"/>
      <c r="F39" s="80"/>
      <c r="G39" s="78" t="s">
        <v>379</v>
      </c>
      <c r="H39" s="80"/>
      <c r="I39" s="80"/>
      <c r="J39" s="79" t="s">
        <v>374</v>
      </c>
      <c r="K39" s="78"/>
      <c r="L39" s="80"/>
      <c r="M39" s="80"/>
      <c r="N39" s="78" t="s">
        <v>380</v>
      </c>
      <c r="O39" s="78"/>
      <c r="P39" s="80"/>
      <c r="Q39" s="79" t="s">
        <v>376</v>
      </c>
      <c r="R39" s="78"/>
      <c r="S39" s="78"/>
      <c r="T39" s="79"/>
      <c r="U39" s="80" t="s">
        <v>381</v>
      </c>
      <c r="V39" s="78"/>
      <c r="W39" s="80"/>
      <c r="X39" s="81" t="s">
        <v>377</v>
      </c>
      <c r="Y39" s="78"/>
      <c r="Z39" s="78"/>
      <c r="AA39" s="78"/>
      <c r="AB39" s="78" t="s">
        <v>382</v>
      </c>
      <c r="AC39" s="78"/>
      <c r="AD39" s="78"/>
      <c r="AE39" s="78" t="s">
        <v>378</v>
      </c>
      <c r="AF39" s="78"/>
      <c r="AG39" s="78"/>
      <c r="AH39" s="106"/>
      <c r="AI39" s="243"/>
      <c r="AJ39" s="239"/>
    </row>
  </sheetData>
  <mergeCells count="37">
    <mergeCell ref="B7:C7"/>
    <mergeCell ref="AI7:AJ7"/>
    <mergeCell ref="B2:AJ2"/>
    <mergeCell ref="B3:C4"/>
    <mergeCell ref="AI3:AJ4"/>
    <mergeCell ref="B5:C6"/>
    <mergeCell ref="AI5:AJ6"/>
    <mergeCell ref="B20:B23"/>
    <mergeCell ref="C20:C21"/>
    <mergeCell ref="AI20:AI21"/>
    <mergeCell ref="AJ20:AJ23"/>
    <mergeCell ref="C22:C23"/>
    <mergeCell ref="AI22:AI23"/>
    <mergeCell ref="B24:B27"/>
    <mergeCell ref="C24:C25"/>
    <mergeCell ref="AI24:AI25"/>
    <mergeCell ref="AJ24:AJ27"/>
    <mergeCell ref="C26:C27"/>
    <mergeCell ref="AI26:AI27"/>
    <mergeCell ref="B28:B31"/>
    <mergeCell ref="C28:C29"/>
    <mergeCell ref="AI28:AI29"/>
    <mergeCell ref="AJ28:AJ31"/>
    <mergeCell ref="C30:C31"/>
    <mergeCell ref="AI30:AI31"/>
    <mergeCell ref="B32:B35"/>
    <mergeCell ref="C32:C33"/>
    <mergeCell ref="AI32:AI33"/>
    <mergeCell ref="AJ32:AJ35"/>
    <mergeCell ref="C34:C35"/>
    <mergeCell ref="AI34:AI35"/>
    <mergeCell ref="B36:B39"/>
    <mergeCell ref="C36:C37"/>
    <mergeCell ref="AI36:AI37"/>
    <mergeCell ref="AJ36:AJ39"/>
    <mergeCell ref="C38:C39"/>
    <mergeCell ref="AI38:AI39"/>
  </mergeCells>
  <phoneticPr fontId="7"/>
  <conditionalFormatting sqref="D3:AH4">
    <cfRule type="expression" dxfId="99" priority="6">
      <formula>OR(WEEKDAY(D$3)=7,WEEKDAY(D$3)=1)</formula>
    </cfRule>
  </conditionalFormatting>
  <conditionalFormatting sqref="D5:AH7">
    <cfRule type="notContainsBlanks" dxfId="98" priority="5">
      <formula>LEN(TRIM(D5))&gt;0</formula>
    </cfRule>
  </conditionalFormatting>
  <conditionalFormatting sqref="D8:AH19">
    <cfRule type="containsText" dxfId="97" priority="1" operator="containsText" text="㉕">
      <formula>NOT(ISERROR(SEARCH("㉕",D8)))</formula>
    </cfRule>
    <cfRule type="containsText" dxfId="96" priority="2" operator="containsText" text="休">
      <formula>NOT(ISERROR(SEARCH("休",D8)))</formula>
    </cfRule>
    <cfRule type="cellIs" dxfId="95" priority="3" operator="equal">
      <formula>"㉕"</formula>
    </cfRule>
    <cfRule type="cellIs" dxfId="94" priority="4" operator="equal">
      <formula>"休"</formula>
    </cfRule>
  </conditionalFormatting>
  <conditionalFormatting sqref="D20:AH21">
    <cfRule type="expression" dxfId="93" priority="7">
      <formula>OR(WEEKDAY(D$3)=7,WEEKDAY(D$3)=1)</formula>
    </cfRule>
  </conditionalFormatting>
  <conditionalFormatting sqref="D24:AH25">
    <cfRule type="expression" dxfId="92" priority="89">
      <formula>OR(WEEKDAY(D$3)=7,WEEKDAY(D$3)=1)</formula>
    </cfRule>
  </conditionalFormatting>
  <conditionalFormatting sqref="D28:AH31">
    <cfRule type="expression" dxfId="91" priority="174">
      <formula>OR(WEEKDAY(D$3)=7,WEEKDAY(D$3)=1)</formula>
    </cfRule>
  </conditionalFormatting>
  <conditionalFormatting sqref="D36:AH37">
    <cfRule type="expression" dxfId="90" priority="175">
      <formula>OR(WEEKDAY(D$3)=7,WEEKDAY(D$3)=1)</formula>
    </cfRule>
  </conditionalFormatting>
  <pageMargins left="0.19685039370078741" right="0.11811023622047245" top="0.11811023622047245" bottom="0.35433070866141736" header="0.31496062992125984" footer="0.31496062992125984"/>
  <pageSetup paperSize="9" scale="37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D933-582E-405D-975D-FABA5F5CED5E}">
  <sheetPr>
    <pageSetUpPr fitToPage="1"/>
  </sheetPr>
  <dimension ref="B2:AO39"/>
  <sheetViews>
    <sheetView zoomScale="50" zoomScaleNormal="50" workbookViewId="0">
      <pane ySplit="4" topLeftCell="A5" activePane="bottomLeft" state="frozen"/>
      <selection pane="bottomLeft"/>
    </sheetView>
  </sheetViews>
  <sheetFormatPr defaultRowHeight="13" x14ac:dyDescent="0.2"/>
  <cols>
    <col min="1" max="3" width="8.7265625" style="14"/>
    <col min="4" max="34" width="11.1796875" style="14" customWidth="1"/>
    <col min="35" max="16384" width="8.7265625" style="14"/>
  </cols>
  <sheetData>
    <row r="2" spans="2:41" ht="41.5" thickBot="1" x14ac:dyDescent="0.25">
      <c r="B2" s="217" t="str">
        <f>AN3 &amp; "年" &amp; AO3 &amp; "月　勤務表"</f>
        <v>2026年5月　勤務表</v>
      </c>
      <c r="C2" s="217"/>
      <c r="D2" s="217"/>
      <c r="E2" s="217"/>
      <c r="F2" s="217"/>
      <c r="G2" s="217"/>
      <c r="H2" s="217"/>
      <c r="I2" s="217"/>
      <c r="J2" s="217"/>
      <c r="K2" s="217"/>
      <c r="L2" s="217"/>
      <c r="M2" s="217"/>
      <c r="N2" s="217"/>
      <c r="O2" s="217"/>
      <c r="P2" s="217"/>
      <c r="Q2" s="217"/>
      <c r="R2" s="217"/>
      <c r="S2" s="217"/>
      <c r="T2" s="217"/>
      <c r="U2" s="217"/>
      <c r="V2" s="217"/>
      <c r="W2" s="217"/>
      <c r="X2" s="217"/>
      <c r="Y2" s="217"/>
      <c r="Z2" s="217"/>
      <c r="AA2" s="217"/>
      <c r="AB2" s="217"/>
      <c r="AC2" s="217"/>
      <c r="AD2" s="217"/>
      <c r="AE2" s="217"/>
      <c r="AF2" s="217"/>
      <c r="AG2" s="217"/>
      <c r="AH2" s="217"/>
      <c r="AI2" s="217"/>
      <c r="AJ2" s="217"/>
    </row>
    <row r="3" spans="2:41" ht="25" x14ac:dyDescent="0.2">
      <c r="B3" s="218" t="str">
        <f>AN3&amp;"年
" &amp;AO3 &amp; "月"</f>
        <v>2026年
5月</v>
      </c>
      <c r="C3" s="219"/>
      <c r="D3" s="15">
        <f>DATE(AN3,AO3,1)</f>
        <v>46143</v>
      </c>
      <c r="E3" s="16">
        <f>D3+1</f>
        <v>46144</v>
      </c>
      <c r="F3" s="16">
        <f t="shared" ref="F3:AH3" si="0">E3+1</f>
        <v>46145</v>
      </c>
      <c r="G3" s="17">
        <f t="shared" si="0"/>
        <v>46146</v>
      </c>
      <c r="H3" s="17">
        <f t="shared" si="0"/>
        <v>46147</v>
      </c>
      <c r="I3" s="17">
        <f t="shared" si="0"/>
        <v>46148</v>
      </c>
      <c r="J3" s="16">
        <f>I3+1</f>
        <v>46149</v>
      </c>
      <c r="K3" s="15">
        <f t="shared" si="0"/>
        <v>46150</v>
      </c>
      <c r="L3" s="17">
        <f t="shared" si="0"/>
        <v>46151</v>
      </c>
      <c r="M3" s="17">
        <f t="shared" si="0"/>
        <v>46152</v>
      </c>
      <c r="N3" s="16">
        <f>M3+1</f>
        <v>46153</v>
      </c>
      <c r="O3" s="16">
        <f t="shared" si="0"/>
        <v>46154</v>
      </c>
      <c r="P3" s="16">
        <f t="shared" si="0"/>
        <v>46155</v>
      </c>
      <c r="Q3" s="16">
        <f t="shared" si="0"/>
        <v>46156</v>
      </c>
      <c r="R3" s="16">
        <f t="shared" si="0"/>
        <v>46157</v>
      </c>
      <c r="S3" s="17">
        <f t="shared" si="0"/>
        <v>46158</v>
      </c>
      <c r="T3" s="17">
        <f t="shared" si="0"/>
        <v>46159</v>
      </c>
      <c r="U3" s="16">
        <f t="shared" si="0"/>
        <v>46160</v>
      </c>
      <c r="V3" s="16">
        <f t="shared" si="0"/>
        <v>46161</v>
      </c>
      <c r="W3" s="16">
        <f t="shared" si="0"/>
        <v>46162</v>
      </c>
      <c r="X3" s="16">
        <f t="shared" si="0"/>
        <v>46163</v>
      </c>
      <c r="Y3" s="16">
        <f t="shared" si="0"/>
        <v>46164</v>
      </c>
      <c r="Z3" s="17">
        <f>Y3+1</f>
        <v>46165</v>
      </c>
      <c r="AA3" s="17">
        <f t="shared" si="0"/>
        <v>46166</v>
      </c>
      <c r="AB3" s="16">
        <f t="shared" si="0"/>
        <v>46167</v>
      </c>
      <c r="AC3" s="16">
        <f t="shared" si="0"/>
        <v>46168</v>
      </c>
      <c r="AD3" s="16">
        <f>AC3+1</f>
        <v>46169</v>
      </c>
      <c r="AE3" s="16">
        <f t="shared" si="0"/>
        <v>46170</v>
      </c>
      <c r="AF3" s="16">
        <f>AE3+1</f>
        <v>46171</v>
      </c>
      <c r="AG3" s="17">
        <f t="shared" si="0"/>
        <v>46172</v>
      </c>
      <c r="AH3" s="17">
        <f t="shared" si="0"/>
        <v>46173</v>
      </c>
      <c r="AI3" s="222" t="str">
        <f>B3</f>
        <v>2026年
5月</v>
      </c>
      <c r="AJ3" s="223"/>
      <c r="AN3" s="14">
        <v>2026</v>
      </c>
      <c r="AO3" s="14">
        <v>5</v>
      </c>
    </row>
    <row r="4" spans="2:41" ht="25.5" thickBot="1" x14ac:dyDescent="0.25">
      <c r="B4" s="220"/>
      <c r="C4" s="221"/>
      <c r="D4" s="18">
        <f>D3</f>
        <v>46143</v>
      </c>
      <c r="E4" s="18">
        <f t="shared" ref="E4:AE4" si="1">E3</f>
        <v>46144</v>
      </c>
      <c r="F4" s="18">
        <f t="shared" si="1"/>
        <v>46145</v>
      </c>
      <c r="G4" s="19">
        <f t="shared" si="1"/>
        <v>46146</v>
      </c>
      <c r="H4" s="19">
        <f t="shared" si="1"/>
        <v>46147</v>
      </c>
      <c r="I4" s="19">
        <f t="shared" si="1"/>
        <v>46148</v>
      </c>
      <c r="J4" s="18">
        <f t="shared" si="1"/>
        <v>46149</v>
      </c>
      <c r="K4" s="18">
        <f t="shared" si="1"/>
        <v>46150</v>
      </c>
      <c r="L4" s="19">
        <f t="shared" si="1"/>
        <v>46151</v>
      </c>
      <c r="M4" s="19">
        <f t="shared" si="1"/>
        <v>46152</v>
      </c>
      <c r="N4" s="18">
        <f t="shared" si="1"/>
        <v>46153</v>
      </c>
      <c r="O4" s="18">
        <f t="shared" si="1"/>
        <v>46154</v>
      </c>
      <c r="P4" s="18">
        <f t="shared" si="1"/>
        <v>46155</v>
      </c>
      <c r="Q4" s="18">
        <f t="shared" si="1"/>
        <v>46156</v>
      </c>
      <c r="R4" s="18">
        <f t="shared" si="1"/>
        <v>46157</v>
      </c>
      <c r="S4" s="19">
        <f t="shared" si="1"/>
        <v>46158</v>
      </c>
      <c r="T4" s="19">
        <f t="shared" si="1"/>
        <v>46159</v>
      </c>
      <c r="U4" s="18">
        <f t="shared" si="1"/>
        <v>46160</v>
      </c>
      <c r="V4" s="18">
        <f t="shared" si="1"/>
        <v>46161</v>
      </c>
      <c r="W4" s="18">
        <f t="shared" si="1"/>
        <v>46162</v>
      </c>
      <c r="X4" s="18">
        <f t="shared" si="1"/>
        <v>46163</v>
      </c>
      <c r="Y4" s="18">
        <f t="shared" si="1"/>
        <v>46164</v>
      </c>
      <c r="Z4" s="19">
        <f t="shared" si="1"/>
        <v>46165</v>
      </c>
      <c r="AA4" s="19">
        <f t="shared" si="1"/>
        <v>46166</v>
      </c>
      <c r="AB4" s="18">
        <f t="shared" si="1"/>
        <v>46167</v>
      </c>
      <c r="AC4" s="18">
        <f t="shared" si="1"/>
        <v>46168</v>
      </c>
      <c r="AD4" s="18">
        <f t="shared" si="1"/>
        <v>46169</v>
      </c>
      <c r="AE4" s="18">
        <f t="shared" si="1"/>
        <v>46170</v>
      </c>
      <c r="AF4" s="18">
        <f>AF3</f>
        <v>46171</v>
      </c>
      <c r="AG4" s="19">
        <f>AG3</f>
        <v>46172</v>
      </c>
      <c r="AH4" s="19">
        <f>AH3</f>
        <v>46173</v>
      </c>
      <c r="AI4" s="224"/>
      <c r="AJ4" s="225"/>
    </row>
    <row r="5" spans="2:41" ht="41" x14ac:dyDescent="0.2">
      <c r="B5" s="226" t="s">
        <v>75</v>
      </c>
      <c r="C5" s="227"/>
      <c r="D5" s="20" t="s">
        <v>298</v>
      </c>
      <c r="E5" s="21" t="s">
        <v>2</v>
      </c>
      <c r="F5" s="20"/>
      <c r="G5" s="20" t="s">
        <v>0</v>
      </c>
      <c r="H5" s="22" t="s">
        <v>2</v>
      </c>
      <c r="I5" s="20"/>
      <c r="J5" s="20"/>
      <c r="K5" s="23" t="s">
        <v>299</v>
      </c>
      <c r="L5" s="24" t="s">
        <v>2</v>
      </c>
      <c r="M5" s="20" t="s">
        <v>0</v>
      </c>
      <c r="N5" s="20"/>
      <c r="O5" s="20"/>
      <c r="P5" s="20" t="s">
        <v>2</v>
      </c>
      <c r="Q5" s="20"/>
      <c r="R5" s="20"/>
      <c r="S5" s="20"/>
      <c r="T5" s="24" t="s">
        <v>0</v>
      </c>
      <c r="U5" s="20"/>
      <c r="V5" s="20"/>
      <c r="W5" s="20"/>
      <c r="X5" s="20"/>
      <c r="Y5" s="24" t="s">
        <v>0</v>
      </c>
      <c r="Z5" s="24" t="s">
        <v>300</v>
      </c>
      <c r="AA5" s="20"/>
      <c r="AB5" s="20"/>
      <c r="AC5" s="24" t="s">
        <v>0</v>
      </c>
      <c r="AD5" s="20"/>
      <c r="AE5" s="24" t="s">
        <v>3</v>
      </c>
      <c r="AF5" s="20"/>
      <c r="AG5" s="24"/>
      <c r="AH5" s="20" t="s">
        <v>2</v>
      </c>
      <c r="AI5" s="228" t="s">
        <v>75</v>
      </c>
      <c r="AJ5" s="229"/>
    </row>
    <row r="6" spans="2:41" ht="20.5" x14ac:dyDescent="0.2">
      <c r="B6" s="226"/>
      <c r="C6" s="227"/>
      <c r="D6" s="20" t="s">
        <v>1</v>
      </c>
      <c r="E6" s="25" t="s">
        <v>1</v>
      </c>
      <c r="F6" s="23" t="s">
        <v>1</v>
      </c>
      <c r="G6" s="23" t="s">
        <v>1</v>
      </c>
      <c r="H6" s="20" t="s">
        <v>1</v>
      </c>
      <c r="I6" s="20" t="s">
        <v>1</v>
      </c>
      <c r="J6" s="24" t="s">
        <v>1</v>
      </c>
      <c r="K6" s="24" t="s">
        <v>1</v>
      </c>
      <c r="L6" s="24" t="s">
        <v>1</v>
      </c>
      <c r="M6" s="23" t="s">
        <v>1</v>
      </c>
      <c r="N6" s="20" t="s">
        <v>1</v>
      </c>
      <c r="O6" s="20" t="s">
        <v>1</v>
      </c>
      <c r="P6" s="20"/>
      <c r="Q6" s="24" t="s">
        <v>1</v>
      </c>
      <c r="R6" s="23" t="s">
        <v>1</v>
      </c>
      <c r="S6" s="24" t="s">
        <v>1</v>
      </c>
      <c r="T6" s="25" t="s">
        <v>1</v>
      </c>
      <c r="U6" s="20" t="s">
        <v>1</v>
      </c>
      <c r="V6" s="20" t="s">
        <v>1</v>
      </c>
      <c r="W6" s="20" t="s">
        <v>1</v>
      </c>
      <c r="X6" s="20" t="s">
        <v>1</v>
      </c>
      <c r="Y6" s="24" t="s">
        <v>1</v>
      </c>
      <c r="Z6" s="24" t="s">
        <v>301</v>
      </c>
      <c r="AA6" s="24" t="s">
        <v>1</v>
      </c>
      <c r="AB6" s="24" t="s">
        <v>1</v>
      </c>
      <c r="AC6" s="24" t="s">
        <v>1</v>
      </c>
      <c r="AD6" s="25" t="s">
        <v>1</v>
      </c>
      <c r="AE6" s="25" t="s">
        <v>1</v>
      </c>
      <c r="AF6" s="23" t="s">
        <v>1</v>
      </c>
      <c r="AG6" s="25" t="s">
        <v>1</v>
      </c>
      <c r="AH6" s="26" t="s">
        <v>1</v>
      </c>
      <c r="AI6" s="228"/>
      <c r="AJ6" s="229"/>
    </row>
    <row r="7" spans="2:41" ht="21" thickBot="1" x14ac:dyDescent="0.25">
      <c r="B7" s="213" t="s">
        <v>76</v>
      </c>
      <c r="C7" s="214"/>
      <c r="D7" s="27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15" t="s">
        <v>76</v>
      </c>
      <c r="AJ7" s="216"/>
    </row>
    <row r="8" spans="2:41" ht="78.5" x14ac:dyDescent="0.2">
      <c r="B8" s="29" t="s">
        <v>85</v>
      </c>
      <c r="C8" s="30"/>
      <c r="D8" s="31" t="s">
        <v>322</v>
      </c>
      <c r="E8" s="32" t="s">
        <v>6</v>
      </c>
      <c r="F8" s="33" t="s">
        <v>7</v>
      </c>
      <c r="G8" s="34" t="s">
        <v>5</v>
      </c>
      <c r="H8" s="34" t="s">
        <v>5</v>
      </c>
      <c r="I8" s="34" t="s">
        <v>5</v>
      </c>
      <c r="J8" s="31" t="s">
        <v>323</v>
      </c>
      <c r="K8" s="35" t="s">
        <v>4</v>
      </c>
      <c r="L8" s="34" t="s">
        <v>5</v>
      </c>
      <c r="M8" s="34" t="s">
        <v>5</v>
      </c>
      <c r="N8" s="36" t="s">
        <v>4</v>
      </c>
      <c r="O8" s="31" t="s">
        <v>324</v>
      </c>
      <c r="P8" s="31" t="s">
        <v>325</v>
      </c>
      <c r="Q8" s="31" t="s">
        <v>326</v>
      </c>
      <c r="R8" s="36" t="s">
        <v>4</v>
      </c>
      <c r="S8" s="34" t="s">
        <v>5</v>
      </c>
      <c r="T8" s="32" t="s">
        <v>6</v>
      </c>
      <c r="U8" s="33" t="s">
        <v>7</v>
      </c>
      <c r="V8" s="35" t="s">
        <v>4</v>
      </c>
      <c r="W8" s="37" t="s">
        <v>327</v>
      </c>
      <c r="X8" s="31" t="s">
        <v>328</v>
      </c>
      <c r="Y8" s="31" t="s">
        <v>329</v>
      </c>
      <c r="Z8" s="34" t="s">
        <v>5</v>
      </c>
      <c r="AA8" s="34" t="s">
        <v>5</v>
      </c>
      <c r="AB8" s="36" t="s">
        <v>4</v>
      </c>
      <c r="AC8" s="35" t="s">
        <v>4</v>
      </c>
      <c r="AD8" s="31" t="s">
        <v>330</v>
      </c>
      <c r="AE8" s="31" t="s">
        <v>331</v>
      </c>
      <c r="AF8" s="38" t="s">
        <v>4</v>
      </c>
      <c r="AG8" s="39" t="s">
        <v>5</v>
      </c>
      <c r="AH8" s="40" t="s">
        <v>8</v>
      </c>
      <c r="AI8" s="29" t="s">
        <v>85</v>
      </c>
      <c r="AJ8" s="30"/>
    </row>
    <row r="9" spans="2:41" ht="59.5" customHeight="1" x14ac:dyDescent="0.2">
      <c r="B9" s="41" t="s">
        <v>86</v>
      </c>
      <c r="C9" s="42"/>
      <c r="D9" s="39" t="s">
        <v>5</v>
      </c>
      <c r="E9" s="39" t="s">
        <v>5</v>
      </c>
      <c r="F9" s="39" t="s">
        <v>5</v>
      </c>
      <c r="G9" s="32" t="s">
        <v>6</v>
      </c>
      <c r="H9" s="43" t="s">
        <v>7</v>
      </c>
      <c r="I9" s="40" t="s">
        <v>8</v>
      </c>
      <c r="J9" s="38" t="s">
        <v>8</v>
      </c>
      <c r="K9" s="34" t="s">
        <v>332</v>
      </c>
      <c r="L9" s="34" t="s">
        <v>5</v>
      </c>
      <c r="M9" s="34" t="s">
        <v>333</v>
      </c>
      <c r="N9" s="32" t="s">
        <v>95</v>
      </c>
      <c r="O9" s="33" t="s">
        <v>7</v>
      </c>
      <c r="P9" s="35" t="s">
        <v>8</v>
      </c>
      <c r="Q9" s="32" t="s">
        <v>6</v>
      </c>
      <c r="R9" s="33" t="s">
        <v>7</v>
      </c>
      <c r="S9" s="32" t="s">
        <v>6</v>
      </c>
      <c r="T9" s="33" t="s">
        <v>96</v>
      </c>
      <c r="U9" s="35" t="s">
        <v>8</v>
      </c>
      <c r="V9" s="32" t="s">
        <v>95</v>
      </c>
      <c r="W9" s="33" t="s">
        <v>7</v>
      </c>
      <c r="X9" s="33" t="s">
        <v>94</v>
      </c>
      <c r="Y9" s="33" t="s">
        <v>94</v>
      </c>
      <c r="Z9" s="33" t="s">
        <v>94</v>
      </c>
      <c r="AA9" s="32" t="s">
        <v>6</v>
      </c>
      <c r="AB9" s="33" t="s">
        <v>7</v>
      </c>
      <c r="AC9" s="35" t="s">
        <v>8</v>
      </c>
      <c r="AD9" s="44" t="s">
        <v>6</v>
      </c>
      <c r="AE9" s="35" t="s">
        <v>7</v>
      </c>
      <c r="AF9" s="32" t="s">
        <v>6</v>
      </c>
      <c r="AG9" s="33" t="s">
        <v>7</v>
      </c>
      <c r="AH9" s="34" t="s">
        <v>5</v>
      </c>
      <c r="AI9" s="41" t="s">
        <v>86</v>
      </c>
      <c r="AJ9" s="42"/>
    </row>
    <row r="10" spans="2:41" ht="60" x14ac:dyDescent="0.2">
      <c r="B10" s="41" t="s">
        <v>87</v>
      </c>
      <c r="C10" s="42"/>
      <c r="D10" s="43" t="s">
        <v>7</v>
      </c>
      <c r="E10" s="39" t="s">
        <v>5</v>
      </c>
      <c r="F10" s="39" t="s">
        <v>5</v>
      </c>
      <c r="G10" s="39" t="s">
        <v>5</v>
      </c>
      <c r="H10" s="45" t="s">
        <v>8</v>
      </c>
      <c r="I10" s="32" t="s">
        <v>97</v>
      </c>
      <c r="J10" s="43" t="s">
        <v>7</v>
      </c>
      <c r="K10" s="40" t="s">
        <v>8</v>
      </c>
      <c r="L10" s="45" t="s">
        <v>8</v>
      </c>
      <c r="M10" s="32" t="s">
        <v>6</v>
      </c>
      <c r="N10" s="43" t="s">
        <v>7</v>
      </c>
      <c r="O10" s="39" t="s">
        <v>5</v>
      </c>
      <c r="P10" s="32" t="s">
        <v>6</v>
      </c>
      <c r="Q10" s="43" t="s">
        <v>7</v>
      </c>
      <c r="R10" s="32" t="s">
        <v>6</v>
      </c>
      <c r="S10" s="43" t="s">
        <v>7</v>
      </c>
      <c r="T10" s="39" t="s">
        <v>5</v>
      </c>
      <c r="U10" s="32" t="s">
        <v>6</v>
      </c>
      <c r="V10" s="43" t="s">
        <v>7</v>
      </c>
      <c r="W10" s="34" t="s">
        <v>334</v>
      </c>
      <c r="X10" s="34" t="s">
        <v>335</v>
      </c>
      <c r="Y10" s="36" t="s">
        <v>8</v>
      </c>
      <c r="Z10" s="46" t="s">
        <v>8</v>
      </c>
      <c r="AA10" s="36" t="s">
        <v>8</v>
      </c>
      <c r="AB10" s="34" t="s">
        <v>334</v>
      </c>
      <c r="AC10" s="34" t="s">
        <v>335</v>
      </c>
      <c r="AD10" s="40" t="s">
        <v>8</v>
      </c>
      <c r="AE10" s="32" t="s">
        <v>6</v>
      </c>
      <c r="AF10" s="43" t="s">
        <v>96</v>
      </c>
      <c r="AG10" s="45" t="s">
        <v>8</v>
      </c>
      <c r="AH10" s="32" t="s">
        <v>6</v>
      </c>
      <c r="AI10" s="41" t="s">
        <v>87</v>
      </c>
      <c r="AJ10" s="42"/>
    </row>
    <row r="11" spans="2:41" ht="43.5" x14ac:dyDescent="0.2">
      <c r="B11" s="41" t="s">
        <v>9</v>
      </c>
      <c r="C11" s="42"/>
      <c r="D11" s="32" t="s">
        <v>6</v>
      </c>
      <c r="E11" s="43" t="s">
        <v>7</v>
      </c>
      <c r="F11" s="47" t="s">
        <v>8</v>
      </c>
      <c r="G11" s="40" t="s">
        <v>8</v>
      </c>
      <c r="H11" s="32" t="s">
        <v>97</v>
      </c>
      <c r="I11" s="43" t="s">
        <v>7</v>
      </c>
      <c r="J11" s="39" t="s">
        <v>5</v>
      </c>
      <c r="K11" s="32" t="s">
        <v>6</v>
      </c>
      <c r="L11" s="43" t="s">
        <v>7</v>
      </c>
      <c r="M11" s="45" t="s">
        <v>8</v>
      </c>
      <c r="N11" s="40" t="s">
        <v>8</v>
      </c>
      <c r="O11" s="47" t="s">
        <v>8</v>
      </c>
      <c r="P11" s="39" t="s">
        <v>336</v>
      </c>
      <c r="Q11" s="39" t="s">
        <v>337</v>
      </c>
      <c r="R11" s="39" t="s">
        <v>337</v>
      </c>
      <c r="S11" s="39" t="s">
        <v>337</v>
      </c>
      <c r="T11" s="39" t="s">
        <v>337</v>
      </c>
      <c r="U11" s="39" t="s">
        <v>337</v>
      </c>
      <c r="V11" s="39" t="s">
        <v>337</v>
      </c>
      <c r="W11" s="39" t="s">
        <v>338</v>
      </c>
      <c r="X11" s="39" t="s">
        <v>337</v>
      </c>
      <c r="Y11" s="39" t="s">
        <v>337</v>
      </c>
      <c r="Z11" s="39" t="s">
        <v>337</v>
      </c>
      <c r="AA11" s="39" t="s">
        <v>337</v>
      </c>
      <c r="AB11" s="39" t="s">
        <v>337</v>
      </c>
      <c r="AC11" s="39" t="s">
        <v>337</v>
      </c>
      <c r="AD11" s="39" t="s">
        <v>337</v>
      </c>
      <c r="AE11" s="39" t="s">
        <v>337</v>
      </c>
      <c r="AF11" s="39" t="s">
        <v>337</v>
      </c>
      <c r="AG11" s="39" t="s">
        <v>337</v>
      </c>
      <c r="AH11" s="39" t="s">
        <v>337</v>
      </c>
      <c r="AI11" s="41" t="s">
        <v>9</v>
      </c>
      <c r="AJ11" s="42"/>
    </row>
    <row r="12" spans="2:41" ht="41.5" x14ac:dyDescent="0.2">
      <c r="B12" s="41" t="s">
        <v>88</v>
      </c>
      <c r="C12" s="42"/>
      <c r="D12" s="38" t="s">
        <v>8</v>
      </c>
      <c r="E12" s="40" t="s">
        <v>8</v>
      </c>
      <c r="F12" s="40" t="s">
        <v>4</v>
      </c>
      <c r="G12" s="34" t="s">
        <v>5</v>
      </c>
      <c r="H12" s="34" t="s" ph="1">
        <v>5</v>
      </c>
      <c r="I12" s="34" t="s" ph="1">
        <v>5</v>
      </c>
      <c r="J12" s="36" t="s">
        <v>4</v>
      </c>
      <c r="K12" s="35" t="s">
        <v>4</v>
      </c>
      <c r="L12" s="33" t="s">
        <v>339</v>
      </c>
      <c r="M12" s="33" t="s">
        <v>7</v>
      </c>
      <c r="N12" s="32" t="s">
        <v>340</v>
      </c>
      <c r="O12" s="33" t="s">
        <v>339</v>
      </c>
      <c r="P12" s="33" t="s">
        <v>96</v>
      </c>
      <c r="Q12" s="36" t="s">
        <v>8</v>
      </c>
      <c r="R12" s="35" t="s">
        <v>8</v>
      </c>
      <c r="S12" s="35" t="s">
        <v>8</v>
      </c>
      <c r="T12" s="36" t="s">
        <v>8</v>
      </c>
      <c r="U12" s="34" t="s">
        <v>5</v>
      </c>
      <c r="V12" s="33" t="s">
        <v>341</v>
      </c>
      <c r="W12" s="36" t="s">
        <v>8</v>
      </c>
      <c r="X12" s="35" t="s">
        <v>8</v>
      </c>
      <c r="Y12" s="33" t="s">
        <v>339</v>
      </c>
      <c r="Z12" s="33" t="s">
        <v>342</v>
      </c>
      <c r="AA12" s="35" t="s">
        <v>4</v>
      </c>
      <c r="AB12" s="36" t="s">
        <v>8</v>
      </c>
      <c r="AC12" s="33" t="s">
        <v>339</v>
      </c>
      <c r="AD12" s="33" t="s">
        <v>7</v>
      </c>
      <c r="AE12" s="36" t="s">
        <v>8</v>
      </c>
      <c r="AF12" s="46" t="s">
        <v>8</v>
      </c>
      <c r="AG12" s="34" t="s">
        <v>5</v>
      </c>
      <c r="AH12" s="34" t="s">
        <v>5</v>
      </c>
      <c r="AI12" s="41" t="s">
        <v>88</v>
      </c>
      <c r="AJ12" s="42"/>
    </row>
    <row r="13" spans="2:41" ht="60" x14ac:dyDescent="0.2">
      <c r="B13" s="41" t="s">
        <v>89</v>
      </c>
      <c r="C13" s="42"/>
      <c r="D13" s="38" t="s">
        <v>4</v>
      </c>
      <c r="E13" s="38" t="s">
        <v>4</v>
      </c>
      <c r="F13" s="32" t="s">
        <v>6</v>
      </c>
      <c r="G13" s="43" t="s">
        <v>7</v>
      </c>
      <c r="H13" s="39" t="s">
        <v>5</v>
      </c>
      <c r="I13" s="39" t="s">
        <v>5</v>
      </c>
      <c r="J13" s="32" t="s">
        <v>97</v>
      </c>
      <c r="K13" s="43" t="s">
        <v>7</v>
      </c>
      <c r="L13" s="32" t="s">
        <v>340</v>
      </c>
      <c r="M13" s="38" t="s">
        <v>4</v>
      </c>
      <c r="N13" s="40" t="s">
        <v>4</v>
      </c>
      <c r="O13" s="39" t="s">
        <v>5</v>
      </c>
      <c r="P13" s="36" t="s">
        <v>343</v>
      </c>
      <c r="Q13" s="34" t="s">
        <v>5</v>
      </c>
      <c r="R13" s="36" t="s">
        <v>4</v>
      </c>
      <c r="S13" s="36" t="s">
        <v>344</v>
      </c>
      <c r="T13" s="34" t="s">
        <v>5</v>
      </c>
      <c r="U13" s="36" t="s">
        <v>4</v>
      </c>
      <c r="V13" s="36" t="s">
        <v>345</v>
      </c>
      <c r="W13" s="35" t="s">
        <v>4</v>
      </c>
      <c r="X13" s="32" t="s">
        <v>98</v>
      </c>
      <c r="Y13" s="33" t="s">
        <v>7</v>
      </c>
      <c r="Z13" s="32" t="s">
        <v>6</v>
      </c>
      <c r="AA13" s="43" t="s">
        <v>7</v>
      </c>
      <c r="AB13" s="32" t="s">
        <v>6</v>
      </c>
      <c r="AC13" s="43" t="s">
        <v>7</v>
      </c>
      <c r="AD13" s="38" t="s">
        <v>4</v>
      </c>
      <c r="AE13" s="38" t="s">
        <v>4</v>
      </c>
      <c r="AF13" s="39" t="s">
        <v>5</v>
      </c>
      <c r="AG13" s="32" t="s">
        <v>6</v>
      </c>
      <c r="AH13" s="43" t="s">
        <v>7</v>
      </c>
      <c r="AI13" s="41" t="s">
        <v>89</v>
      </c>
      <c r="AJ13" s="42"/>
    </row>
    <row r="14" spans="2:41" ht="69" x14ac:dyDescent="0.2">
      <c r="B14" s="41" t="s">
        <v>90</v>
      </c>
      <c r="C14" s="42"/>
      <c r="D14" s="34" t="s">
        <v>346</v>
      </c>
      <c r="E14" s="34" t="s">
        <v>5</v>
      </c>
      <c r="F14" s="34" t="s">
        <v>5</v>
      </c>
      <c r="G14" s="32" t="s">
        <v>10</v>
      </c>
      <c r="H14" s="33" t="s">
        <v>7</v>
      </c>
      <c r="I14" s="48" t="s">
        <v>99</v>
      </c>
      <c r="J14" s="33" t="s">
        <v>7</v>
      </c>
      <c r="K14" s="34" t="s">
        <v>5</v>
      </c>
      <c r="L14" s="35" t="s">
        <v>4</v>
      </c>
      <c r="M14" s="32" t="s">
        <v>10</v>
      </c>
      <c r="N14" s="36" t="s">
        <v>347</v>
      </c>
      <c r="O14" s="35" t="s">
        <v>4</v>
      </c>
      <c r="P14" s="34" t="s">
        <v>5</v>
      </c>
      <c r="Q14" s="35" t="s">
        <v>4</v>
      </c>
      <c r="R14" s="33" t="s">
        <v>348</v>
      </c>
      <c r="S14" s="34" t="s">
        <v>5</v>
      </c>
      <c r="T14" s="32" t="s">
        <v>10</v>
      </c>
      <c r="U14" s="33" t="s">
        <v>7</v>
      </c>
      <c r="V14" s="36" t="s">
        <v>349</v>
      </c>
      <c r="W14" s="33" t="s">
        <v>7</v>
      </c>
      <c r="X14" s="33" t="s">
        <v>94</v>
      </c>
      <c r="Y14" s="33" t="s">
        <v>94</v>
      </c>
      <c r="Z14" s="35" t="s">
        <v>4</v>
      </c>
      <c r="AA14" s="32" t="s">
        <v>10</v>
      </c>
      <c r="AB14" s="43" t="s">
        <v>7</v>
      </c>
      <c r="AC14" s="40" t="s">
        <v>4</v>
      </c>
      <c r="AD14" s="39" t="s">
        <v>5</v>
      </c>
      <c r="AE14" s="38" t="s">
        <v>4</v>
      </c>
      <c r="AF14" s="38" t="s">
        <v>4</v>
      </c>
      <c r="AG14" s="40" t="s">
        <v>4</v>
      </c>
      <c r="AH14" s="32" t="s">
        <v>10</v>
      </c>
      <c r="AI14" s="41" t="s">
        <v>90</v>
      </c>
      <c r="AJ14" s="42"/>
    </row>
    <row r="15" spans="2:41" ht="59" customHeight="1" x14ac:dyDescent="0.2">
      <c r="B15" s="41" t="s">
        <v>91</v>
      </c>
      <c r="C15" s="42"/>
      <c r="D15" s="32" t="s">
        <v>10</v>
      </c>
      <c r="E15" s="43" t="s">
        <v>7</v>
      </c>
      <c r="F15" s="38" t="s">
        <v>4</v>
      </c>
      <c r="G15" s="38" t="s">
        <v>4</v>
      </c>
      <c r="H15" s="40" t="s">
        <v>4</v>
      </c>
      <c r="I15" s="39" t="s">
        <v>5</v>
      </c>
      <c r="J15" s="38" t="s">
        <v>4</v>
      </c>
      <c r="K15" s="32" t="s">
        <v>10</v>
      </c>
      <c r="L15" s="43" t="s">
        <v>7</v>
      </c>
      <c r="M15" s="39" t="s">
        <v>5</v>
      </c>
      <c r="N15" s="38" t="s">
        <v>4</v>
      </c>
      <c r="O15" s="32" t="s">
        <v>10</v>
      </c>
      <c r="P15" s="43" t="s">
        <v>7</v>
      </c>
      <c r="Q15" s="39" t="s">
        <v>5</v>
      </c>
      <c r="R15" s="32" t="s">
        <v>10</v>
      </c>
      <c r="S15" s="33" t="s">
        <v>7</v>
      </c>
      <c r="T15" s="34" t="s">
        <v>5</v>
      </c>
      <c r="U15" s="34" t="s">
        <v>5</v>
      </c>
      <c r="V15" s="39" t="s">
        <v>5</v>
      </c>
      <c r="W15" s="32" t="s">
        <v>10</v>
      </c>
      <c r="X15" s="43" t="s">
        <v>7</v>
      </c>
      <c r="Y15" s="38" t="s">
        <v>4</v>
      </c>
      <c r="Z15" s="32" t="s">
        <v>10</v>
      </c>
      <c r="AA15" s="43" t="s">
        <v>7</v>
      </c>
      <c r="AB15" s="40" t="s">
        <v>4</v>
      </c>
      <c r="AC15" s="49" t="s">
        <v>99</v>
      </c>
      <c r="AD15" s="43" t="s">
        <v>7</v>
      </c>
      <c r="AE15" s="39" t="s">
        <v>5</v>
      </c>
      <c r="AF15" s="32" t="s">
        <v>10</v>
      </c>
      <c r="AG15" s="43" t="s">
        <v>7</v>
      </c>
      <c r="AH15" s="38" t="s">
        <v>4</v>
      </c>
      <c r="AI15" s="41" t="s">
        <v>91</v>
      </c>
      <c r="AJ15" s="42"/>
    </row>
    <row r="16" spans="2:41" ht="59" customHeight="1" x14ac:dyDescent="0.2">
      <c r="B16" s="41" t="s">
        <v>92</v>
      </c>
      <c r="C16" s="42"/>
      <c r="D16" s="40" t="s">
        <v>4</v>
      </c>
      <c r="E16" s="32" t="s">
        <v>10</v>
      </c>
      <c r="F16" s="43" t="s">
        <v>7</v>
      </c>
      <c r="G16" s="38" t="s">
        <v>4</v>
      </c>
      <c r="H16" s="38" t="s">
        <v>4</v>
      </c>
      <c r="I16" s="40" t="s">
        <v>4</v>
      </c>
      <c r="J16" s="32" t="s">
        <v>10</v>
      </c>
      <c r="K16" s="43" t="s">
        <v>7</v>
      </c>
      <c r="L16" s="49" t="s">
        <v>99</v>
      </c>
      <c r="M16" s="43" t="s">
        <v>7</v>
      </c>
      <c r="N16" s="32" t="s">
        <v>10</v>
      </c>
      <c r="O16" s="43" t="s">
        <v>7</v>
      </c>
      <c r="P16" s="38" t="s">
        <v>4</v>
      </c>
      <c r="Q16" s="39" t="s">
        <v>5</v>
      </c>
      <c r="R16" s="39" t="s">
        <v>5</v>
      </c>
      <c r="S16" s="40" t="s">
        <v>4</v>
      </c>
      <c r="T16" s="38" t="s">
        <v>4</v>
      </c>
      <c r="U16" s="34" t="s">
        <v>5</v>
      </c>
      <c r="V16" s="35" t="s">
        <v>4</v>
      </c>
      <c r="W16" s="34" t="s">
        <v>5</v>
      </c>
      <c r="X16" s="32" t="s">
        <v>340</v>
      </c>
      <c r="Y16" s="32" t="s">
        <v>10</v>
      </c>
      <c r="Z16" s="33" t="s">
        <v>7</v>
      </c>
      <c r="AA16" s="34" t="s">
        <v>5</v>
      </c>
      <c r="AB16" s="32" t="s">
        <v>10</v>
      </c>
      <c r="AC16" s="33" t="s">
        <v>7</v>
      </c>
      <c r="AD16" s="35" t="s">
        <v>4</v>
      </c>
      <c r="AE16" s="32" t="s">
        <v>10</v>
      </c>
      <c r="AF16" s="36" t="s">
        <v>347</v>
      </c>
      <c r="AG16" s="34" t="s">
        <v>5</v>
      </c>
      <c r="AH16" s="34" t="s">
        <v>5</v>
      </c>
      <c r="AI16" s="41" t="s">
        <v>92</v>
      </c>
      <c r="AJ16" s="42"/>
    </row>
    <row r="17" spans="2:36" ht="75" customHeight="1" x14ac:dyDescent="0.2">
      <c r="B17" s="41" t="s">
        <v>11</v>
      </c>
      <c r="C17" s="42"/>
      <c r="D17" s="43" t="s">
        <v>7</v>
      </c>
      <c r="E17" s="38" t="s">
        <v>4</v>
      </c>
      <c r="F17" s="32" t="s">
        <v>10</v>
      </c>
      <c r="G17" s="43" t="s">
        <v>7</v>
      </c>
      <c r="H17" s="32" t="s">
        <v>10</v>
      </c>
      <c r="I17" s="43" t="s">
        <v>7</v>
      </c>
      <c r="J17" s="34" t="s">
        <v>5</v>
      </c>
      <c r="K17" s="36" t="s">
        <v>4</v>
      </c>
      <c r="L17" s="34" t="s">
        <v>5</v>
      </c>
      <c r="M17" s="35" t="s">
        <v>4</v>
      </c>
      <c r="N17" s="32" t="s">
        <v>340</v>
      </c>
      <c r="O17" s="40" t="s">
        <v>4</v>
      </c>
      <c r="P17" s="39" t="s">
        <v>5</v>
      </c>
      <c r="Q17" s="38" t="s">
        <v>4</v>
      </c>
      <c r="R17" s="39" t="s">
        <v>5</v>
      </c>
      <c r="S17" s="32" t="s">
        <v>10</v>
      </c>
      <c r="T17" s="43" t="s">
        <v>7</v>
      </c>
      <c r="U17" s="49" t="s">
        <v>99</v>
      </c>
      <c r="V17" s="43" t="s">
        <v>7</v>
      </c>
      <c r="W17" s="40" t="s">
        <v>4</v>
      </c>
      <c r="X17" s="38" t="s">
        <v>4</v>
      </c>
      <c r="Y17" s="38" t="s">
        <v>4</v>
      </c>
      <c r="Z17" s="34" t="s">
        <v>5</v>
      </c>
      <c r="AA17" s="34" t="s">
        <v>5</v>
      </c>
      <c r="AB17" s="36" t="s">
        <v>4</v>
      </c>
      <c r="AC17" s="34" t="s">
        <v>5</v>
      </c>
      <c r="AD17" s="32" t="s">
        <v>10</v>
      </c>
      <c r="AE17" s="43" t="s">
        <v>7</v>
      </c>
      <c r="AF17" s="38" t="s">
        <v>4</v>
      </c>
      <c r="AG17" s="32" t="s">
        <v>10</v>
      </c>
      <c r="AH17" s="43" t="s">
        <v>7</v>
      </c>
      <c r="AI17" s="41" t="s">
        <v>11</v>
      </c>
      <c r="AJ17" s="42"/>
    </row>
    <row r="18" spans="2:36" ht="74" customHeight="1" x14ac:dyDescent="0.2">
      <c r="B18" s="41" t="s">
        <v>93</v>
      </c>
      <c r="C18" s="42"/>
      <c r="D18" s="50"/>
      <c r="E18" s="50"/>
      <c r="F18" s="51"/>
      <c r="G18" s="51"/>
      <c r="H18" s="50"/>
      <c r="I18" s="50"/>
      <c r="J18" s="50"/>
      <c r="K18" s="50"/>
      <c r="L18" s="50"/>
      <c r="M18" s="50"/>
      <c r="N18" s="50"/>
      <c r="O18" s="50"/>
      <c r="P18" s="82" t="s">
        <v>350</v>
      </c>
      <c r="Q18" s="82" t="s">
        <v>350</v>
      </c>
      <c r="R18" s="43" t="s">
        <v>7</v>
      </c>
      <c r="S18" s="50"/>
      <c r="T18" s="50"/>
      <c r="U18" s="50"/>
      <c r="V18" s="82" t="s">
        <v>351</v>
      </c>
      <c r="W18" s="43" t="s">
        <v>7</v>
      </c>
      <c r="X18" s="82" t="s">
        <v>351</v>
      </c>
      <c r="Y18" s="43" t="s">
        <v>7</v>
      </c>
      <c r="Z18" s="50"/>
      <c r="AA18" s="50"/>
      <c r="AB18" s="50"/>
      <c r="AC18" s="50"/>
      <c r="AD18" s="50"/>
      <c r="AE18" s="50"/>
      <c r="AF18" s="50"/>
      <c r="AG18" s="50"/>
      <c r="AH18" s="50"/>
      <c r="AI18" s="41" t="s">
        <v>93</v>
      </c>
      <c r="AJ18" s="42"/>
    </row>
    <row r="19" spans="2:36" ht="60" customHeight="1" thickBot="1" x14ac:dyDescent="0.25">
      <c r="B19" s="41" t="s">
        <v>100</v>
      </c>
      <c r="C19" s="42"/>
      <c r="D19" s="36" t="s">
        <v>4</v>
      </c>
      <c r="E19" s="34" t="s">
        <v>101</v>
      </c>
      <c r="F19" s="34" t="s">
        <v>101</v>
      </c>
      <c r="G19" s="34" t="s">
        <v>102</v>
      </c>
      <c r="H19" s="34" t="s">
        <v>102</v>
      </c>
      <c r="I19" s="34" t="s">
        <v>102</v>
      </c>
      <c r="J19" s="36" t="s">
        <v>4</v>
      </c>
      <c r="K19" s="36" t="s">
        <v>4</v>
      </c>
      <c r="L19" s="34" t="s">
        <v>101</v>
      </c>
      <c r="M19" s="34" t="s">
        <v>103</v>
      </c>
      <c r="N19" s="36" t="s">
        <v>4</v>
      </c>
      <c r="O19" s="36" t="s">
        <v>4</v>
      </c>
      <c r="P19" s="36" t="s">
        <v>4</v>
      </c>
      <c r="Q19" s="36" t="s">
        <v>4</v>
      </c>
      <c r="R19" s="36" t="s">
        <v>4</v>
      </c>
      <c r="S19" s="34" t="s">
        <v>101</v>
      </c>
      <c r="T19" s="34" t="s">
        <v>101</v>
      </c>
      <c r="U19" s="36" t="s">
        <v>4</v>
      </c>
      <c r="V19" s="36" t="s">
        <v>352</v>
      </c>
      <c r="W19" s="36" t="s">
        <v>104</v>
      </c>
      <c r="X19" s="36" t="s">
        <v>4</v>
      </c>
      <c r="Y19" s="36" t="s">
        <v>4</v>
      </c>
      <c r="Z19" s="34" t="s">
        <v>101</v>
      </c>
      <c r="AA19" s="34" t="s">
        <v>101</v>
      </c>
      <c r="AB19" s="34" t="s">
        <v>105</v>
      </c>
      <c r="AC19" s="36" t="s">
        <v>106</v>
      </c>
      <c r="AD19" s="36" t="s">
        <v>4</v>
      </c>
      <c r="AE19" s="36" t="s">
        <v>4</v>
      </c>
      <c r="AF19" s="36" t="s">
        <v>4</v>
      </c>
      <c r="AG19" s="34" t="s">
        <v>101</v>
      </c>
      <c r="AH19" s="34" t="s">
        <v>101</v>
      </c>
      <c r="AI19" s="41" t="s">
        <v>100</v>
      </c>
      <c r="AJ19" s="42"/>
    </row>
    <row r="20" spans="2:36" ht="18.5" x14ac:dyDescent="0.2">
      <c r="B20" s="230" t="s">
        <v>77</v>
      </c>
      <c r="C20" s="233" t="s">
        <v>78</v>
      </c>
      <c r="D20" s="52" t="s">
        <v>1</v>
      </c>
      <c r="E20" s="53" t="s">
        <v>121</v>
      </c>
      <c r="F20" s="53" t="s">
        <v>130</v>
      </c>
      <c r="G20" s="53" t="s">
        <v>142</v>
      </c>
      <c r="H20" s="53" t="s">
        <v>158</v>
      </c>
      <c r="I20" s="53" t="s">
        <v>170</v>
      </c>
      <c r="J20" s="52" t="s">
        <v>1</v>
      </c>
      <c r="K20" s="52" t="s">
        <v>1</v>
      </c>
      <c r="L20" s="53" t="s">
        <v>158</v>
      </c>
      <c r="M20" s="53" t="s">
        <v>111</v>
      </c>
      <c r="N20" s="52" t="s">
        <v>1</v>
      </c>
      <c r="O20" s="52" t="s">
        <v>1</v>
      </c>
      <c r="P20" s="52" t="s">
        <v>1</v>
      </c>
      <c r="Q20" s="52" t="s">
        <v>1</v>
      </c>
      <c r="R20" s="52" t="s">
        <v>1</v>
      </c>
      <c r="S20" s="53" t="s">
        <v>170</v>
      </c>
      <c r="T20" s="53" t="s">
        <v>183</v>
      </c>
      <c r="U20" s="52"/>
      <c r="V20" s="52"/>
      <c r="W20" s="52"/>
      <c r="X20" s="52"/>
      <c r="Y20" s="52"/>
      <c r="Z20" s="53" t="s">
        <v>183</v>
      </c>
      <c r="AA20" s="53" t="s">
        <v>142</v>
      </c>
      <c r="AB20" s="54"/>
      <c r="AC20" s="54"/>
      <c r="AD20" s="54"/>
      <c r="AE20" s="54"/>
      <c r="AF20" s="54"/>
      <c r="AG20" s="53" t="s">
        <v>111</v>
      </c>
      <c r="AH20" s="53" t="s">
        <v>121</v>
      </c>
      <c r="AI20" s="235" t="s">
        <v>78</v>
      </c>
      <c r="AJ20" s="237" t="s">
        <v>77</v>
      </c>
    </row>
    <row r="21" spans="2:36" ht="18.5" x14ac:dyDescent="0.2">
      <c r="B21" s="231"/>
      <c r="C21" s="234"/>
      <c r="D21" s="55" t="s">
        <v>1</v>
      </c>
      <c r="E21" s="56" t="s">
        <v>1</v>
      </c>
      <c r="F21" s="56" t="s">
        <v>1</v>
      </c>
      <c r="G21" s="56" t="s">
        <v>1</v>
      </c>
      <c r="H21" s="56" t="s">
        <v>1</v>
      </c>
      <c r="I21" s="56" t="s">
        <v>1</v>
      </c>
      <c r="J21" s="55" t="s">
        <v>1</v>
      </c>
      <c r="K21" s="55" t="s">
        <v>1</v>
      </c>
      <c r="L21" s="56" t="s">
        <v>1</v>
      </c>
      <c r="M21" s="56" t="s">
        <v>1</v>
      </c>
      <c r="N21" s="55" t="s">
        <v>1</v>
      </c>
      <c r="O21" s="55" t="s">
        <v>1</v>
      </c>
      <c r="P21" s="55" t="s">
        <v>1</v>
      </c>
      <c r="Q21" s="55" t="s">
        <v>1</v>
      </c>
      <c r="R21" s="55" t="s">
        <v>1</v>
      </c>
      <c r="S21" s="56" t="s">
        <v>1</v>
      </c>
      <c r="T21" s="56" t="s">
        <v>1</v>
      </c>
      <c r="U21" s="55" t="s">
        <v>1</v>
      </c>
      <c r="V21" s="55" t="s">
        <v>1</v>
      </c>
      <c r="W21" s="55" t="s">
        <v>1</v>
      </c>
      <c r="X21" s="55" t="s">
        <v>1</v>
      </c>
      <c r="Y21" s="55" t="s">
        <v>1</v>
      </c>
      <c r="Z21" s="56" t="s">
        <v>1</v>
      </c>
      <c r="AA21" s="56" t="s">
        <v>1</v>
      </c>
      <c r="AB21" s="57" t="s">
        <v>1</v>
      </c>
      <c r="AC21" s="57" t="s">
        <v>1</v>
      </c>
      <c r="AD21" s="57" t="s">
        <v>1</v>
      </c>
      <c r="AE21" s="57" t="s">
        <v>1</v>
      </c>
      <c r="AF21" s="57" t="s">
        <v>1</v>
      </c>
      <c r="AG21" s="56" t="s">
        <v>1</v>
      </c>
      <c r="AH21" s="56" t="s">
        <v>1</v>
      </c>
      <c r="AI21" s="236"/>
      <c r="AJ21" s="238"/>
    </row>
    <row r="22" spans="2:36" ht="18.5" x14ac:dyDescent="0.2">
      <c r="B22" s="231"/>
      <c r="C22" s="240" t="s">
        <v>79</v>
      </c>
      <c r="D22" s="58" t="s">
        <v>111</v>
      </c>
      <c r="E22" s="58" t="s">
        <v>121</v>
      </c>
      <c r="F22" s="58" t="s">
        <v>130</v>
      </c>
      <c r="G22" s="58" t="s">
        <v>142</v>
      </c>
      <c r="H22" s="58" t="s">
        <v>158</v>
      </c>
      <c r="I22" s="58" t="s">
        <v>170</v>
      </c>
      <c r="J22" s="58" t="s">
        <v>263</v>
      </c>
      <c r="K22" s="58" t="s">
        <v>183</v>
      </c>
      <c r="L22" s="58" t="s">
        <v>158</v>
      </c>
      <c r="M22" s="58" t="s">
        <v>111</v>
      </c>
      <c r="N22" s="58" t="s">
        <v>121</v>
      </c>
      <c r="O22" s="58" t="s">
        <v>142</v>
      </c>
      <c r="P22" s="58" t="s">
        <v>183</v>
      </c>
      <c r="Q22" s="58" t="s">
        <v>264</v>
      </c>
      <c r="R22" s="58" t="s">
        <v>142</v>
      </c>
      <c r="S22" s="58" t="s">
        <v>170</v>
      </c>
      <c r="T22" s="58" t="s">
        <v>183</v>
      </c>
      <c r="U22" s="58" t="s">
        <v>158</v>
      </c>
      <c r="V22" s="58" t="s">
        <v>111</v>
      </c>
      <c r="W22" s="58" t="s">
        <v>121</v>
      </c>
      <c r="X22" s="58" t="s">
        <v>263</v>
      </c>
      <c r="Y22" s="58" t="s">
        <v>170</v>
      </c>
      <c r="Z22" s="58" t="s">
        <v>183</v>
      </c>
      <c r="AA22" s="58" t="s">
        <v>142</v>
      </c>
      <c r="AB22" s="58" t="s">
        <v>121</v>
      </c>
      <c r="AC22" s="58" t="s">
        <v>158</v>
      </c>
      <c r="AD22" s="58" t="s">
        <v>170</v>
      </c>
      <c r="AE22" s="58" t="s">
        <v>264</v>
      </c>
      <c r="AF22" s="58" t="s">
        <v>158</v>
      </c>
      <c r="AG22" s="58" t="s">
        <v>111</v>
      </c>
      <c r="AH22" s="58" t="s">
        <v>121</v>
      </c>
      <c r="AI22" s="242" t="s">
        <v>79</v>
      </c>
      <c r="AJ22" s="238"/>
    </row>
    <row r="23" spans="2:36" ht="19" thickBot="1" x14ac:dyDescent="0.25">
      <c r="B23" s="232"/>
      <c r="C23" s="241"/>
      <c r="D23" s="59" t="s">
        <v>1</v>
      </c>
      <c r="E23" s="59" t="s">
        <v>1</v>
      </c>
      <c r="F23" s="59" t="s">
        <v>1</v>
      </c>
      <c r="G23" s="59" t="s">
        <v>1</v>
      </c>
      <c r="H23" s="59" t="s">
        <v>1</v>
      </c>
      <c r="I23" s="59" t="s">
        <v>1</v>
      </c>
      <c r="J23" s="59" t="s">
        <v>1</v>
      </c>
      <c r="K23" s="59" t="s">
        <v>1</v>
      </c>
      <c r="L23" s="59" t="s">
        <v>1</v>
      </c>
      <c r="M23" s="59" t="s">
        <v>1</v>
      </c>
      <c r="N23" s="59" t="s">
        <v>1</v>
      </c>
      <c r="O23" s="59" t="s">
        <v>1</v>
      </c>
      <c r="P23" s="59" t="s">
        <v>1</v>
      </c>
      <c r="Q23" s="59" t="s">
        <v>1</v>
      </c>
      <c r="R23" s="59" t="s">
        <v>1</v>
      </c>
      <c r="S23" s="59" t="s">
        <v>1</v>
      </c>
      <c r="T23" s="59" t="s">
        <v>1</v>
      </c>
      <c r="U23" s="59" t="s">
        <v>1</v>
      </c>
      <c r="V23" s="59" t="s">
        <v>1</v>
      </c>
      <c r="W23" s="59" t="s">
        <v>1</v>
      </c>
      <c r="X23" s="59" t="s">
        <v>1</v>
      </c>
      <c r="Y23" s="59" t="s">
        <v>1</v>
      </c>
      <c r="Z23" s="59" t="s">
        <v>1</v>
      </c>
      <c r="AA23" s="59" t="s">
        <v>1</v>
      </c>
      <c r="AB23" s="59" t="s">
        <v>1</v>
      </c>
      <c r="AC23" s="59" t="s">
        <v>1</v>
      </c>
      <c r="AD23" s="59" t="s">
        <v>1</v>
      </c>
      <c r="AE23" s="59" t="s">
        <v>1</v>
      </c>
      <c r="AF23" s="59" t="s">
        <v>1</v>
      </c>
      <c r="AG23" s="59" t="s">
        <v>1</v>
      </c>
      <c r="AH23" s="59"/>
      <c r="AI23" s="243"/>
      <c r="AJ23" s="239"/>
    </row>
    <row r="24" spans="2:36" ht="18.5" x14ac:dyDescent="0.2">
      <c r="B24" s="230" t="s">
        <v>80</v>
      </c>
      <c r="C24" s="233" t="s">
        <v>78</v>
      </c>
      <c r="D24" s="60" t="s">
        <v>1</v>
      </c>
      <c r="E24" s="53" t="s">
        <v>15</v>
      </c>
      <c r="F24" s="53" t="s">
        <v>16</v>
      </c>
      <c r="G24" s="53" t="s">
        <v>18</v>
      </c>
      <c r="H24" s="53" t="s">
        <v>17</v>
      </c>
      <c r="I24" s="53" t="s">
        <v>15</v>
      </c>
      <c r="J24" s="52"/>
      <c r="K24" s="52"/>
      <c r="L24" s="53" t="s">
        <v>15</v>
      </c>
      <c r="M24" s="53" t="s">
        <v>16</v>
      </c>
      <c r="N24" s="52"/>
      <c r="O24" s="52"/>
      <c r="P24" s="52"/>
      <c r="Q24" s="52"/>
      <c r="R24" s="52"/>
      <c r="S24" s="53" t="s">
        <v>17</v>
      </c>
      <c r="T24" s="53" t="s">
        <v>15</v>
      </c>
      <c r="U24" s="52"/>
      <c r="V24" s="52"/>
      <c r="W24" s="52"/>
      <c r="X24" s="52"/>
      <c r="Y24" s="52"/>
      <c r="Z24" s="53" t="s">
        <v>16</v>
      </c>
      <c r="AA24" s="53" t="s">
        <v>17</v>
      </c>
      <c r="AB24" s="54"/>
      <c r="AC24" s="54"/>
      <c r="AD24" s="54"/>
      <c r="AE24" s="54"/>
      <c r="AF24" s="54"/>
      <c r="AG24" s="53" t="s">
        <v>15</v>
      </c>
      <c r="AH24" s="53" t="s">
        <v>18</v>
      </c>
      <c r="AI24" s="235" t="s">
        <v>78</v>
      </c>
      <c r="AJ24" s="237" t="s">
        <v>80</v>
      </c>
    </row>
    <row r="25" spans="2:36" ht="18.5" x14ac:dyDescent="0.2">
      <c r="B25" s="231"/>
      <c r="C25" s="234"/>
      <c r="D25" s="55" t="s">
        <v>1</v>
      </c>
      <c r="E25" s="56"/>
      <c r="F25" s="56"/>
      <c r="G25" s="56"/>
      <c r="H25" s="56"/>
      <c r="I25" s="56"/>
      <c r="J25" s="55"/>
      <c r="K25" s="55"/>
      <c r="L25" s="56"/>
      <c r="M25" s="56"/>
      <c r="N25" s="55"/>
      <c r="O25" s="55"/>
      <c r="P25" s="55"/>
      <c r="Q25" s="55"/>
      <c r="R25" s="55"/>
      <c r="S25" s="56"/>
      <c r="T25" s="56"/>
      <c r="U25" s="55"/>
      <c r="V25" s="55"/>
      <c r="W25" s="55"/>
      <c r="X25" s="55"/>
      <c r="Y25" s="55"/>
      <c r="Z25" s="56" t="s">
        <v>18</v>
      </c>
      <c r="AA25" s="56"/>
      <c r="AB25" s="57"/>
      <c r="AC25" s="57"/>
      <c r="AD25" s="57"/>
      <c r="AE25" s="57"/>
      <c r="AF25" s="57"/>
      <c r="AG25" s="56"/>
      <c r="AH25" s="56"/>
      <c r="AI25" s="236"/>
      <c r="AJ25" s="238"/>
    </row>
    <row r="26" spans="2:36" ht="18.5" x14ac:dyDescent="0.2">
      <c r="B26" s="231"/>
      <c r="C26" s="240" t="s">
        <v>79</v>
      </c>
      <c r="D26" s="60" t="s">
        <v>16</v>
      </c>
      <c r="E26" s="60" t="s">
        <v>15</v>
      </c>
      <c r="F26" s="60" t="s">
        <v>19</v>
      </c>
      <c r="G26" s="60" t="s">
        <v>19</v>
      </c>
      <c r="H26" s="60" t="s">
        <v>17</v>
      </c>
      <c r="I26" s="60" t="s">
        <v>19</v>
      </c>
      <c r="J26" s="60" t="s">
        <v>16</v>
      </c>
      <c r="K26" s="60" t="s">
        <v>18</v>
      </c>
      <c r="L26" s="60" t="s">
        <v>15</v>
      </c>
      <c r="M26" s="60" t="s">
        <v>19</v>
      </c>
      <c r="N26" s="60" t="s">
        <v>15</v>
      </c>
      <c r="O26" s="60" t="s">
        <v>18</v>
      </c>
      <c r="P26" s="60" t="s">
        <v>16</v>
      </c>
      <c r="Q26" s="60" t="s">
        <v>17</v>
      </c>
      <c r="R26" s="60" t="s">
        <v>15</v>
      </c>
      <c r="S26" s="60" t="s">
        <v>17</v>
      </c>
      <c r="T26" s="60" t="s">
        <v>19</v>
      </c>
      <c r="U26" s="60" t="s">
        <v>16</v>
      </c>
      <c r="V26" s="60" t="s">
        <v>17</v>
      </c>
      <c r="W26" s="60" t="s">
        <v>18</v>
      </c>
      <c r="X26" s="60" t="s">
        <v>16</v>
      </c>
      <c r="Y26" s="60" t="s">
        <v>17</v>
      </c>
      <c r="Z26" s="60" t="s">
        <v>16</v>
      </c>
      <c r="AA26" s="60" t="s">
        <v>19</v>
      </c>
      <c r="AB26" s="60" t="s">
        <v>18</v>
      </c>
      <c r="AC26" s="60" t="s">
        <v>15</v>
      </c>
      <c r="AD26" s="60" t="s">
        <v>18</v>
      </c>
      <c r="AE26" s="60" t="s">
        <v>17</v>
      </c>
      <c r="AF26" s="60" t="s">
        <v>16</v>
      </c>
      <c r="AG26" s="60" t="s">
        <v>15</v>
      </c>
      <c r="AH26" s="60" t="s">
        <v>19</v>
      </c>
      <c r="AI26" s="242" t="s">
        <v>79</v>
      </c>
      <c r="AJ26" s="238"/>
    </row>
    <row r="27" spans="2:36" ht="19" thickBot="1" x14ac:dyDescent="0.25">
      <c r="B27" s="232"/>
      <c r="C27" s="241"/>
      <c r="D27" s="59"/>
      <c r="E27" s="59"/>
      <c r="F27" s="59"/>
      <c r="G27" s="59"/>
      <c r="H27" s="59"/>
      <c r="I27" s="59"/>
      <c r="J27" s="59" t="s">
        <v>20</v>
      </c>
      <c r="K27" s="59"/>
      <c r="L27" s="59"/>
      <c r="M27" s="59"/>
      <c r="N27" s="59"/>
      <c r="O27" s="59" t="s">
        <v>20</v>
      </c>
      <c r="P27" s="59" t="s">
        <v>20</v>
      </c>
      <c r="Q27" s="59" t="s">
        <v>20</v>
      </c>
      <c r="R27" s="59"/>
      <c r="S27" s="59"/>
      <c r="T27" s="59"/>
      <c r="U27" s="59"/>
      <c r="V27" s="59" t="s">
        <v>20</v>
      </c>
      <c r="W27" s="59" t="s">
        <v>20</v>
      </c>
      <c r="X27" s="59" t="s">
        <v>20</v>
      </c>
      <c r="Y27" s="59"/>
      <c r="Z27" s="59" t="s">
        <v>18</v>
      </c>
      <c r="AA27" s="59"/>
      <c r="AB27" s="59"/>
      <c r="AC27" s="59" t="s">
        <v>20</v>
      </c>
      <c r="AD27" s="59" t="s">
        <v>20</v>
      </c>
      <c r="AE27" s="59" t="s">
        <v>20</v>
      </c>
      <c r="AF27" s="59"/>
      <c r="AG27" s="59"/>
      <c r="AH27" s="59"/>
      <c r="AI27" s="243"/>
      <c r="AJ27" s="239"/>
    </row>
    <row r="28" spans="2:36" ht="23.5" customHeight="1" x14ac:dyDescent="0.2">
      <c r="B28" s="244" t="s">
        <v>81</v>
      </c>
      <c r="C28" s="233" t="s">
        <v>82</v>
      </c>
      <c r="D28" s="60" t="s">
        <v>1</v>
      </c>
      <c r="E28" s="61" t="s">
        <v>284</v>
      </c>
      <c r="F28" s="61" t="s">
        <v>270</v>
      </c>
      <c r="G28" s="61" t="s">
        <v>284</v>
      </c>
      <c r="H28" s="61" t="s">
        <v>269</v>
      </c>
      <c r="I28" s="61" t="s">
        <v>270</v>
      </c>
      <c r="J28" s="62"/>
      <c r="K28" s="62"/>
      <c r="L28" s="61" t="s">
        <v>283</v>
      </c>
      <c r="M28" s="61" t="s">
        <v>269</v>
      </c>
      <c r="N28" s="62"/>
      <c r="O28" s="62"/>
      <c r="P28" s="62"/>
      <c r="Q28" s="62"/>
      <c r="R28" s="62"/>
      <c r="S28" s="61" t="s">
        <v>269</v>
      </c>
      <c r="T28" s="61" t="s">
        <v>269</v>
      </c>
      <c r="U28" s="62"/>
      <c r="V28" s="62"/>
      <c r="W28" s="62"/>
      <c r="X28" s="62"/>
      <c r="Y28" s="62"/>
      <c r="Z28" s="61" t="s">
        <v>270</v>
      </c>
      <c r="AA28" s="61" t="s">
        <v>283</v>
      </c>
      <c r="AB28" s="54"/>
      <c r="AC28" s="54"/>
      <c r="AD28" s="62"/>
      <c r="AE28" s="54"/>
      <c r="AF28" s="54"/>
      <c r="AG28" s="61" t="s">
        <v>283</v>
      </c>
      <c r="AH28" s="61" t="s">
        <v>269</v>
      </c>
      <c r="AI28" s="235" t="s">
        <v>82</v>
      </c>
      <c r="AJ28" s="247" t="s">
        <v>81</v>
      </c>
    </row>
    <row r="29" spans="2:36" ht="23.5" customHeight="1" x14ac:dyDescent="0.2">
      <c r="B29" s="245"/>
      <c r="C29" s="234"/>
      <c r="D29" s="60" t="s">
        <v>1</v>
      </c>
      <c r="E29" s="61" t="s">
        <v>290</v>
      </c>
      <c r="F29" s="61" t="s">
        <v>25</v>
      </c>
      <c r="G29" s="61" t="s">
        <v>285</v>
      </c>
      <c r="H29" s="61" t="s">
        <v>277</v>
      </c>
      <c r="I29" s="61" t="s">
        <v>289</v>
      </c>
      <c r="J29" s="62"/>
      <c r="K29" s="62"/>
      <c r="L29" s="61" t="s">
        <v>286</v>
      </c>
      <c r="M29" s="61" t="s">
        <v>288</v>
      </c>
      <c r="N29" s="62"/>
      <c r="O29" s="62"/>
      <c r="P29" s="62"/>
      <c r="Q29" s="62"/>
      <c r="R29" s="62"/>
      <c r="S29" s="61" t="s">
        <v>273</v>
      </c>
      <c r="T29" s="61" t="s">
        <v>274</v>
      </c>
      <c r="U29" s="62"/>
      <c r="V29" s="62"/>
      <c r="W29" s="62"/>
      <c r="X29" s="62"/>
      <c r="Y29" s="62"/>
      <c r="Z29" s="61" t="s">
        <v>21</v>
      </c>
      <c r="AA29" s="61" t="s">
        <v>291</v>
      </c>
      <c r="AB29" s="63"/>
      <c r="AC29" s="63"/>
      <c r="AD29" s="62"/>
      <c r="AE29" s="63"/>
      <c r="AF29" s="63"/>
      <c r="AG29" s="61" t="s">
        <v>287</v>
      </c>
      <c r="AH29" s="61" t="s">
        <v>279</v>
      </c>
      <c r="AI29" s="236"/>
      <c r="AJ29" s="248"/>
    </row>
    <row r="30" spans="2:36" ht="23.5" customHeight="1" x14ac:dyDescent="0.2">
      <c r="B30" s="245"/>
      <c r="C30" s="250" t="s">
        <v>83</v>
      </c>
      <c r="D30" s="58" t="s">
        <v>1</v>
      </c>
      <c r="E30" s="64" t="s">
        <v>27</v>
      </c>
      <c r="F30" s="64" t="s">
        <v>46</v>
      </c>
      <c r="G30" s="64" t="s">
        <v>31</v>
      </c>
      <c r="H30" s="64" t="s">
        <v>48</v>
      </c>
      <c r="I30" s="64" t="s">
        <v>44</v>
      </c>
      <c r="J30" s="58"/>
      <c r="K30" s="58"/>
      <c r="L30" s="64" t="s">
        <v>29</v>
      </c>
      <c r="M30" s="64" t="s">
        <v>33</v>
      </c>
      <c r="N30" s="58"/>
      <c r="O30" s="58"/>
      <c r="P30" s="58"/>
      <c r="Q30" s="58"/>
      <c r="R30" s="58"/>
      <c r="S30" s="64" t="s">
        <v>53</v>
      </c>
      <c r="T30" s="64" t="s">
        <v>29</v>
      </c>
      <c r="U30" s="58"/>
      <c r="V30" s="58"/>
      <c r="W30" s="58"/>
      <c r="X30" s="58"/>
      <c r="Y30" s="58"/>
      <c r="Z30" s="64" t="s">
        <v>34</v>
      </c>
      <c r="AA30" s="64" t="s">
        <v>112</v>
      </c>
      <c r="AB30" s="58"/>
      <c r="AC30" s="58"/>
      <c r="AD30" s="58"/>
      <c r="AE30" s="58"/>
      <c r="AF30" s="58"/>
      <c r="AG30" s="64" t="s">
        <v>31</v>
      </c>
      <c r="AH30" s="65" t="s">
        <v>53</v>
      </c>
      <c r="AI30" s="252" t="s">
        <v>83</v>
      </c>
      <c r="AJ30" s="248"/>
    </row>
    <row r="31" spans="2:36" ht="23.5" customHeight="1" thickBot="1" x14ac:dyDescent="0.25">
      <c r="B31" s="246"/>
      <c r="C31" s="251"/>
      <c r="D31" s="66" t="s">
        <v>1</v>
      </c>
      <c r="E31" s="67" t="s">
        <v>13</v>
      </c>
      <c r="F31" s="67" t="s">
        <v>129</v>
      </c>
      <c r="G31" s="67" t="s">
        <v>38</v>
      </c>
      <c r="H31" s="67" t="s">
        <v>156</v>
      </c>
      <c r="I31" s="67" t="s">
        <v>169</v>
      </c>
      <c r="J31" s="66"/>
      <c r="K31" s="66"/>
      <c r="L31" s="67" t="s">
        <v>37</v>
      </c>
      <c r="M31" s="67" t="s">
        <v>39</v>
      </c>
      <c r="N31" s="66"/>
      <c r="O31" s="66"/>
      <c r="P31" s="66"/>
      <c r="Q31" s="66"/>
      <c r="R31" s="66"/>
      <c r="S31" s="67" t="s">
        <v>219</v>
      </c>
      <c r="T31" s="67" t="s">
        <v>225</v>
      </c>
      <c r="U31" s="66"/>
      <c r="V31" s="66"/>
      <c r="W31" s="66"/>
      <c r="X31" s="66"/>
      <c r="Y31" s="66"/>
      <c r="Z31" s="67" t="s">
        <v>40</v>
      </c>
      <c r="AA31" s="67" t="s">
        <v>195</v>
      </c>
      <c r="AB31" s="66"/>
      <c r="AC31" s="66"/>
      <c r="AD31" s="66"/>
      <c r="AE31" s="66"/>
      <c r="AF31" s="66"/>
      <c r="AG31" s="67" t="s">
        <v>242</v>
      </c>
      <c r="AH31" s="68" t="s">
        <v>246</v>
      </c>
      <c r="AI31" s="253"/>
      <c r="AJ31" s="249"/>
    </row>
    <row r="32" spans="2:36" ht="23.5" customHeight="1" x14ac:dyDescent="0.2">
      <c r="B32" s="254" t="s">
        <v>84</v>
      </c>
      <c r="C32" s="256" t="s">
        <v>82</v>
      </c>
      <c r="D32" s="69" t="s">
        <v>270</v>
      </c>
      <c r="E32" s="60" t="s">
        <v>269</v>
      </c>
      <c r="F32" s="60" t="s">
        <v>270</v>
      </c>
      <c r="G32" s="60" t="s">
        <v>270</v>
      </c>
      <c r="H32" s="60" t="s">
        <v>269</v>
      </c>
      <c r="I32" s="60" t="s">
        <v>270</v>
      </c>
      <c r="J32" s="60" t="s">
        <v>270</v>
      </c>
      <c r="K32" s="60" t="s">
        <v>270</v>
      </c>
      <c r="L32" s="60" t="s">
        <v>270</v>
      </c>
      <c r="M32" s="60" t="s">
        <v>269</v>
      </c>
      <c r="N32" s="60" t="s">
        <v>269</v>
      </c>
      <c r="O32" s="60" t="s">
        <v>270</v>
      </c>
      <c r="P32" s="60" t="s">
        <v>270</v>
      </c>
      <c r="Q32" s="60" t="s">
        <v>270</v>
      </c>
      <c r="R32" s="60" t="s">
        <v>270</v>
      </c>
      <c r="S32" s="60" t="s">
        <v>270</v>
      </c>
      <c r="T32" s="60" t="s">
        <v>269</v>
      </c>
      <c r="U32" s="60" t="s">
        <v>270</v>
      </c>
      <c r="V32" s="60" t="s">
        <v>269</v>
      </c>
      <c r="W32" s="60" t="s">
        <v>269</v>
      </c>
      <c r="X32" s="60" t="s">
        <v>270</v>
      </c>
      <c r="Y32" s="60" t="s">
        <v>269</v>
      </c>
      <c r="Z32" s="60" t="s">
        <v>270</v>
      </c>
      <c r="AA32" s="60" t="s">
        <v>270</v>
      </c>
      <c r="AB32" s="60" t="s">
        <v>270</v>
      </c>
      <c r="AC32" s="60" t="s">
        <v>269</v>
      </c>
      <c r="AD32" s="60" t="s">
        <v>269</v>
      </c>
      <c r="AE32" s="60" t="s">
        <v>270</v>
      </c>
      <c r="AF32" s="60" t="s">
        <v>270</v>
      </c>
      <c r="AG32" s="60" t="s">
        <v>270</v>
      </c>
      <c r="AH32" s="60" t="s">
        <v>270</v>
      </c>
      <c r="AI32" s="258" t="s">
        <v>82</v>
      </c>
      <c r="AJ32" s="260" t="s">
        <v>84</v>
      </c>
    </row>
    <row r="33" spans="2:36" ht="23.5" customHeight="1" x14ac:dyDescent="0.2">
      <c r="B33" s="254"/>
      <c r="C33" s="257"/>
      <c r="D33" s="70" t="s">
        <v>41</v>
      </c>
      <c r="E33" s="71" t="s">
        <v>273</v>
      </c>
      <c r="F33" s="71" t="s">
        <v>271</v>
      </c>
      <c r="G33" s="71" t="s">
        <v>272</v>
      </c>
      <c r="H33" s="71" t="s">
        <v>274</v>
      </c>
      <c r="I33" s="71" t="s">
        <v>43</v>
      </c>
      <c r="J33" s="71" t="s">
        <v>21</v>
      </c>
      <c r="K33" s="71" t="s">
        <v>271</v>
      </c>
      <c r="L33" s="71" t="s">
        <v>22</v>
      </c>
      <c r="M33" s="71" t="s">
        <v>275</v>
      </c>
      <c r="N33" s="71" t="s">
        <v>276</v>
      </c>
      <c r="O33" s="71" t="s">
        <v>25</v>
      </c>
      <c r="P33" s="71" t="s">
        <v>23</v>
      </c>
      <c r="Q33" s="71" t="s">
        <v>272</v>
      </c>
      <c r="R33" s="71" t="s">
        <v>41</v>
      </c>
      <c r="S33" s="71" t="s">
        <v>24</v>
      </c>
      <c r="T33" s="71" t="s">
        <v>277</v>
      </c>
      <c r="U33" s="71" t="s">
        <v>22</v>
      </c>
      <c r="V33" s="71" t="s">
        <v>278</v>
      </c>
      <c r="W33" s="71" t="s">
        <v>279</v>
      </c>
      <c r="X33" s="71" t="s">
        <v>271</v>
      </c>
      <c r="Y33" s="71" t="s">
        <v>280</v>
      </c>
      <c r="Z33" s="71" t="s">
        <v>272</v>
      </c>
      <c r="AA33" s="71" t="s">
        <v>22</v>
      </c>
      <c r="AB33" s="71" t="s">
        <v>24</v>
      </c>
      <c r="AC33" s="71" t="s">
        <v>281</v>
      </c>
      <c r="AD33" s="71" t="s">
        <v>282</v>
      </c>
      <c r="AE33" s="71" t="s">
        <v>23</v>
      </c>
      <c r="AF33" s="71" t="s">
        <v>21</v>
      </c>
      <c r="AG33" s="71" t="s">
        <v>25</v>
      </c>
      <c r="AH33" s="72" t="s">
        <v>43</v>
      </c>
      <c r="AI33" s="259"/>
      <c r="AJ33" s="260"/>
    </row>
    <row r="34" spans="2:36" ht="23.5" customHeight="1" x14ac:dyDescent="0.2">
      <c r="B34" s="254"/>
      <c r="C34" s="256" t="s">
        <v>83</v>
      </c>
      <c r="D34" s="69" t="s">
        <v>45</v>
      </c>
      <c r="E34" s="60" t="s">
        <v>49</v>
      </c>
      <c r="F34" s="60" t="s">
        <v>26</v>
      </c>
      <c r="G34" s="60" t="s">
        <v>52</v>
      </c>
      <c r="H34" s="60" t="s">
        <v>29</v>
      </c>
      <c r="I34" s="60" t="s">
        <v>30</v>
      </c>
      <c r="J34" s="60" t="s">
        <v>33</v>
      </c>
      <c r="K34" s="60" t="s">
        <v>50</v>
      </c>
      <c r="L34" s="60" t="s">
        <v>26</v>
      </c>
      <c r="M34" s="60" t="s">
        <v>28</v>
      </c>
      <c r="N34" s="60" t="s">
        <v>112</v>
      </c>
      <c r="O34" s="60" t="s">
        <v>32</v>
      </c>
      <c r="P34" s="60" t="s">
        <v>209</v>
      </c>
      <c r="Q34" s="60" t="s">
        <v>54</v>
      </c>
      <c r="R34" s="60" t="s">
        <v>33</v>
      </c>
      <c r="S34" s="60" t="s">
        <v>50</v>
      </c>
      <c r="T34" s="60" t="s">
        <v>51</v>
      </c>
      <c r="U34" s="60" t="s">
        <v>112</v>
      </c>
      <c r="V34" s="60" t="s">
        <v>47</v>
      </c>
      <c r="W34" s="60" t="s">
        <v>46</v>
      </c>
      <c r="X34" s="60" t="s">
        <v>51</v>
      </c>
      <c r="Y34" s="60" t="s">
        <v>30</v>
      </c>
      <c r="Z34" s="60" t="s">
        <v>48</v>
      </c>
      <c r="AA34" s="60" t="s">
        <v>44</v>
      </c>
      <c r="AB34" s="60" t="s">
        <v>112</v>
      </c>
      <c r="AC34" s="60" t="s">
        <v>29</v>
      </c>
      <c r="AD34" s="60" t="s">
        <v>32</v>
      </c>
      <c r="AE34" s="60" t="s">
        <v>27</v>
      </c>
      <c r="AF34" s="60" t="s">
        <v>28</v>
      </c>
      <c r="AG34" s="60" t="s">
        <v>27</v>
      </c>
      <c r="AH34" s="69" t="s">
        <v>52</v>
      </c>
      <c r="AI34" s="258" t="s">
        <v>83</v>
      </c>
      <c r="AJ34" s="260"/>
    </row>
    <row r="35" spans="2:36" ht="23.5" customHeight="1" thickBot="1" x14ac:dyDescent="0.25">
      <c r="B35" s="255"/>
      <c r="C35" s="241"/>
      <c r="D35" s="73" t="s">
        <v>109</v>
      </c>
      <c r="E35" s="66" t="s">
        <v>61</v>
      </c>
      <c r="F35" s="66" t="s">
        <v>265</v>
      </c>
      <c r="G35" s="66" t="s">
        <v>147</v>
      </c>
      <c r="H35" s="66" t="s">
        <v>59</v>
      </c>
      <c r="I35" s="66" t="s">
        <v>174</v>
      </c>
      <c r="J35" s="66" t="s">
        <v>179</v>
      </c>
      <c r="K35" s="66" t="s">
        <v>127</v>
      </c>
      <c r="L35" s="66" t="s">
        <v>194</v>
      </c>
      <c r="M35" s="66" t="s">
        <v>63</v>
      </c>
      <c r="N35" s="66" t="s">
        <v>203</v>
      </c>
      <c r="O35" s="66" t="s">
        <v>58</v>
      </c>
      <c r="P35" s="66" t="s">
        <v>210</v>
      </c>
      <c r="Q35" s="66" t="s">
        <v>214</v>
      </c>
      <c r="R35" s="66" t="s">
        <v>266</v>
      </c>
      <c r="S35" s="66" t="s">
        <v>222</v>
      </c>
      <c r="T35" s="66" t="s">
        <v>62</v>
      </c>
      <c r="U35" s="66" t="s">
        <v>217</v>
      </c>
      <c r="V35" s="66" t="s">
        <v>57</v>
      </c>
      <c r="W35" s="66" t="s">
        <v>232</v>
      </c>
      <c r="X35" s="66" t="s">
        <v>235</v>
      </c>
      <c r="Y35" s="66" t="s">
        <v>175</v>
      </c>
      <c r="Z35" s="66" t="s">
        <v>267</v>
      </c>
      <c r="AA35" s="66" t="s">
        <v>163</v>
      </c>
      <c r="AB35" s="66" t="s">
        <v>226</v>
      </c>
      <c r="AC35" s="66" t="s">
        <v>60</v>
      </c>
      <c r="AD35" s="66" t="s">
        <v>65</v>
      </c>
      <c r="AE35" s="66" t="s">
        <v>159</v>
      </c>
      <c r="AF35" s="66" t="s">
        <v>241</v>
      </c>
      <c r="AG35" s="66" t="s">
        <v>136</v>
      </c>
      <c r="AH35" s="74" t="s">
        <v>268</v>
      </c>
      <c r="AI35" s="243"/>
      <c r="AJ35" s="261"/>
    </row>
    <row r="36" spans="2:36" ht="23" customHeight="1" x14ac:dyDescent="0.2">
      <c r="B36" s="230" t="s">
        <v>67</v>
      </c>
      <c r="C36" s="233" t="s">
        <v>12</v>
      </c>
      <c r="D36" s="60"/>
      <c r="E36" s="61" t="s">
        <v>73</v>
      </c>
      <c r="F36" s="61" t="s">
        <v>71</v>
      </c>
      <c r="G36" s="61" t="s">
        <v>72</v>
      </c>
      <c r="H36" s="61" t="s">
        <v>303</v>
      </c>
      <c r="I36" s="61" t="s">
        <v>305</v>
      </c>
      <c r="J36" s="54"/>
      <c r="K36" s="54"/>
      <c r="L36" s="61" t="s">
        <v>303</v>
      </c>
      <c r="M36" s="61" t="s">
        <v>310</v>
      </c>
      <c r="N36" s="54"/>
      <c r="O36" s="54"/>
      <c r="P36" s="54"/>
      <c r="Q36" s="54"/>
      <c r="R36" s="54"/>
      <c r="S36" s="61" t="s">
        <v>315</v>
      </c>
      <c r="T36" s="61" t="s">
        <v>316</v>
      </c>
      <c r="U36" s="54"/>
      <c r="V36" s="54"/>
      <c r="W36" s="54"/>
      <c r="X36" s="54"/>
      <c r="Y36" s="54"/>
      <c r="Z36" s="61" t="s">
        <v>314</v>
      </c>
      <c r="AA36" s="61" t="s">
        <v>310</v>
      </c>
      <c r="AB36" s="54"/>
      <c r="AC36" s="54"/>
      <c r="AD36" s="54"/>
      <c r="AE36" s="54"/>
      <c r="AF36" s="54"/>
      <c r="AG36" s="61" t="s">
        <v>313</v>
      </c>
      <c r="AH36" s="61" t="s">
        <v>310</v>
      </c>
      <c r="AI36" s="235" t="s">
        <v>12</v>
      </c>
      <c r="AJ36" s="237" t="s">
        <v>67</v>
      </c>
    </row>
    <row r="37" spans="2:36" ht="23" customHeight="1" x14ac:dyDescent="0.2">
      <c r="B37" s="231"/>
      <c r="C37" s="234"/>
      <c r="D37" s="55"/>
      <c r="E37" s="56"/>
      <c r="F37" s="56"/>
      <c r="G37" s="75"/>
      <c r="H37" s="56"/>
      <c r="I37" s="75"/>
      <c r="J37" s="57"/>
      <c r="K37" s="57"/>
      <c r="L37" s="56"/>
      <c r="M37" s="56" t="s">
        <v>308</v>
      </c>
      <c r="N37" s="57"/>
      <c r="O37" s="57"/>
      <c r="P37" s="57"/>
      <c r="Q37" s="57"/>
      <c r="R37" s="57"/>
      <c r="S37" s="75"/>
      <c r="T37" s="56"/>
      <c r="U37" s="57"/>
      <c r="V37" s="57"/>
      <c r="W37" s="57"/>
      <c r="X37" s="57"/>
      <c r="Y37" s="57"/>
      <c r="Z37" s="75"/>
      <c r="AA37" s="56" t="s">
        <v>312</v>
      </c>
      <c r="AB37" s="57"/>
      <c r="AC37" s="57"/>
      <c r="AD37" s="57"/>
      <c r="AE37" s="57"/>
      <c r="AF37" s="57"/>
      <c r="AG37" s="75"/>
      <c r="AH37" s="56" t="s">
        <v>311</v>
      </c>
      <c r="AI37" s="236"/>
      <c r="AJ37" s="238"/>
    </row>
    <row r="38" spans="2:36" ht="23" customHeight="1" x14ac:dyDescent="0.2">
      <c r="B38" s="231"/>
      <c r="C38" s="240" t="s">
        <v>14</v>
      </c>
      <c r="D38" s="76" t="s">
        <v>302</v>
      </c>
      <c r="E38" s="76" t="s">
        <v>304</v>
      </c>
      <c r="F38" s="76" t="s">
        <v>71</v>
      </c>
      <c r="G38" s="76" t="s">
        <v>72</v>
      </c>
      <c r="H38" s="76" t="s">
        <v>303</v>
      </c>
      <c r="I38" s="77" t="s">
        <v>70</v>
      </c>
      <c r="J38" s="76" t="s">
        <v>69</v>
      </c>
      <c r="K38" s="76" t="s">
        <v>68</v>
      </c>
      <c r="L38" s="76" t="s">
        <v>303</v>
      </c>
      <c r="M38" s="76" t="s">
        <v>307</v>
      </c>
      <c r="N38" s="76" t="s">
        <v>68</v>
      </c>
      <c r="O38" s="76" t="s">
        <v>304</v>
      </c>
      <c r="P38" s="76" t="s">
        <v>74</v>
      </c>
      <c r="Q38" s="77" t="s">
        <v>70</v>
      </c>
      <c r="R38" s="76" t="s">
        <v>71</v>
      </c>
      <c r="S38" s="76" t="s">
        <v>315</v>
      </c>
      <c r="T38" s="76" t="s">
        <v>316</v>
      </c>
      <c r="U38" s="76" t="s">
        <v>303</v>
      </c>
      <c r="V38" s="76" t="s">
        <v>74</v>
      </c>
      <c r="W38" s="76" t="s">
        <v>71</v>
      </c>
      <c r="X38" s="76" t="s">
        <v>69</v>
      </c>
      <c r="Y38" s="76" t="s">
        <v>321</v>
      </c>
      <c r="Z38" s="76" t="s">
        <v>314</v>
      </c>
      <c r="AA38" s="76" t="s">
        <v>69</v>
      </c>
      <c r="AB38" s="76" t="s">
        <v>319</v>
      </c>
      <c r="AC38" s="76" t="s">
        <v>314</v>
      </c>
      <c r="AD38" s="76" t="s">
        <v>316</v>
      </c>
      <c r="AE38" s="76" t="s">
        <v>69</v>
      </c>
      <c r="AF38" s="76" t="s">
        <v>317</v>
      </c>
      <c r="AG38" s="76" t="s">
        <v>74</v>
      </c>
      <c r="AH38" s="76" t="s">
        <v>69</v>
      </c>
      <c r="AI38" s="242" t="s">
        <v>14</v>
      </c>
      <c r="AJ38" s="238"/>
    </row>
    <row r="39" spans="2:36" ht="23" customHeight="1" thickBot="1" x14ac:dyDescent="0.25">
      <c r="B39" s="232"/>
      <c r="C39" s="241"/>
      <c r="D39" s="78"/>
      <c r="E39" s="79"/>
      <c r="F39" s="80"/>
      <c r="G39" s="78"/>
      <c r="H39" s="80"/>
      <c r="I39" s="80"/>
      <c r="J39" s="79" t="s">
        <v>306</v>
      </c>
      <c r="K39" s="78"/>
      <c r="L39" s="80"/>
      <c r="M39" s="80" t="s">
        <v>309</v>
      </c>
      <c r="N39" s="78"/>
      <c r="O39" s="78"/>
      <c r="P39" s="80"/>
      <c r="Q39" s="79"/>
      <c r="R39" s="78"/>
      <c r="S39" s="78"/>
      <c r="T39" s="79"/>
      <c r="U39" s="80"/>
      <c r="V39" s="78"/>
      <c r="W39" s="80"/>
      <c r="X39" s="81" t="s">
        <v>320</v>
      </c>
      <c r="Y39" s="78"/>
      <c r="Z39" s="78"/>
      <c r="AA39" s="78" t="s">
        <v>312</v>
      </c>
      <c r="AB39" s="78"/>
      <c r="AC39" s="78"/>
      <c r="AD39" s="78"/>
      <c r="AE39" s="78" t="s">
        <v>318</v>
      </c>
      <c r="AF39" s="78"/>
      <c r="AG39" s="78"/>
      <c r="AH39" s="79" t="s">
        <v>311</v>
      </c>
      <c r="AI39" s="243"/>
      <c r="AJ39" s="239"/>
    </row>
  </sheetData>
  <mergeCells count="37">
    <mergeCell ref="B36:B39"/>
    <mergeCell ref="C36:C37"/>
    <mergeCell ref="AI36:AI37"/>
    <mergeCell ref="AJ36:AJ39"/>
    <mergeCell ref="C38:C39"/>
    <mergeCell ref="AI38:AI39"/>
    <mergeCell ref="B32:B35"/>
    <mergeCell ref="C32:C33"/>
    <mergeCell ref="AI32:AI33"/>
    <mergeCell ref="AJ32:AJ35"/>
    <mergeCell ref="C34:C35"/>
    <mergeCell ref="AI34:AI35"/>
    <mergeCell ref="B28:B31"/>
    <mergeCell ref="C28:C29"/>
    <mergeCell ref="AI28:AI29"/>
    <mergeCell ref="AJ28:AJ31"/>
    <mergeCell ref="C30:C31"/>
    <mergeCell ref="AI30:AI31"/>
    <mergeCell ref="B24:B27"/>
    <mergeCell ref="C24:C25"/>
    <mergeCell ref="AI24:AI25"/>
    <mergeCell ref="AJ24:AJ27"/>
    <mergeCell ref="C26:C27"/>
    <mergeCell ref="AI26:AI27"/>
    <mergeCell ref="B20:B23"/>
    <mergeCell ref="C20:C21"/>
    <mergeCell ref="AI20:AI21"/>
    <mergeCell ref="AJ20:AJ23"/>
    <mergeCell ref="C22:C23"/>
    <mergeCell ref="AI22:AI23"/>
    <mergeCell ref="B7:C7"/>
    <mergeCell ref="AI7:AJ7"/>
    <mergeCell ref="B2:AJ2"/>
    <mergeCell ref="B3:C4"/>
    <mergeCell ref="AI3:AJ4"/>
    <mergeCell ref="B5:C6"/>
    <mergeCell ref="AI5:AJ6"/>
  </mergeCells>
  <phoneticPr fontId="6"/>
  <conditionalFormatting sqref="D8:E8">
    <cfRule type="cellIs" dxfId="89" priority="135" operator="equal">
      <formula>"休"</formula>
    </cfRule>
    <cfRule type="cellIs" dxfId="88" priority="134" operator="equal">
      <formula>"㉕"</formula>
    </cfRule>
    <cfRule type="containsText" dxfId="87" priority="133" operator="containsText" text="休">
      <formula>NOT(ISERROR(SEARCH("休",D8)))</formula>
    </cfRule>
    <cfRule type="containsText" dxfId="86" priority="132" operator="containsText" text="㉕">
      <formula>NOT(ISERROR(SEARCH("㉕",D8)))</formula>
    </cfRule>
  </conditionalFormatting>
  <conditionalFormatting sqref="D16:M17">
    <cfRule type="cellIs" dxfId="85" priority="131" operator="equal">
      <formula>"休"</formula>
    </cfRule>
    <cfRule type="cellIs" dxfId="84" priority="130" operator="equal">
      <formula>"㉕"</formula>
    </cfRule>
    <cfRule type="containsText" dxfId="83" priority="129" operator="containsText" text="休">
      <formula>NOT(ISERROR(SEARCH("休",D16)))</formula>
    </cfRule>
    <cfRule type="containsText" dxfId="82" priority="128" operator="containsText" text="㉕">
      <formula>NOT(ISERROR(SEARCH("㉕",D16)))</formula>
    </cfRule>
  </conditionalFormatting>
  <conditionalFormatting sqref="D9:Q9">
    <cfRule type="cellIs" dxfId="81" priority="105" operator="equal">
      <formula>"㉕"</formula>
    </cfRule>
  </conditionalFormatting>
  <conditionalFormatting sqref="D9:Q10">
    <cfRule type="containsText" dxfId="80" priority="74" operator="containsText" text="㉕">
      <formula>NOT(ISERROR(SEARCH("㉕",D9)))</formula>
    </cfRule>
    <cfRule type="cellIs" dxfId="79" priority="77" operator="equal">
      <formula>"休"</formula>
    </cfRule>
  </conditionalFormatting>
  <conditionalFormatting sqref="D10:Q10">
    <cfRule type="containsText" dxfId="78" priority="75" operator="containsText" text="休">
      <formula>NOT(ISERROR(SEARCH("休",D10)))</formula>
    </cfRule>
    <cfRule type="cellIs" dxfId="77" priority="76" operator="equal">
      <formula>"㉕"</formula>
    </cfRule>
  </conditionalFormatting>
  <conditionalFormatting sqref="D15:X15">
    <cfRule type="cellIs" dxfId="76" priority="127" operator="equal">
      <formula>"休"</formula>
    </cfRule>
    <cfRule type="cellIs" dxfId="75" priority="126" operator="equal">
      <formula>"㉕"</formula>
    </cfRule>
    <cfRule type="containsText" dxfId="74" priority="125" operator="containsText" text="休">
      <formula>NOT(ISERROR(SEARCH("休",D15)))</formula>
    </cfRule>
  </conditionalFormatting>
  <conditionalFormatting sqref="D9:Y9">
    <cfRule type="containsText" dxfId="73" priority="99" operator="containsText" text="休">
      <formula>NOT(ISERROR(SEARCH("休",D9)))</formula>
    </cfRule>
  </conditionalFormatting>
  <conditionalFormatting sqref="D15:Y15">
    <cfRule type="containsText" dxfId="72" priority="124" operator="containsText" text="㉕">
      <formula>NOT(ISERROR(SEARCH("㉕",D15)))</formula>
    </cfRule>
  </conditionalFormatting>
  <conditionalFormatting sqref="D3:AH4">
    <cfRule type="expression" dxfId="71" priority="1292">
      <formula>OR(WEEKDAY(D$3)=7,WEEKDAY(D$3)=1)</formula>
    </cfRule>
  </conditionalFormatting>
  <conditionalFormatting sqref="D5:AH7">
    <cfRule type="notContainsBlanks" dxfId="70" priority="1291">
      <formula>LEN(TRIM(D5))&gt;0</formula>
    </cfRule>
  </conditionalFormatting>
  <conditionalFormatting sqref="D11:AH14">
    <cfRule type="cellIs" dxfId="69" priority="68" operator="equal">
      <formula>"休"</formula>
    </cfRule>
    <cfRule type="containsText" dxfId="68" priority="65" operator="containsText" text="㉕">
      <formula>NOT(ISERROR(SEARCH("㉕",D11)))</formula>
    </cfRule>
    <cfRule type="containsText" dxfId="67" priority="66" operator="containsText" text="休">
      <formula>NOT(ISERROR(SEARCH("休",D11)))</formula>
    </cfRule>
    <cfRule type="cellIs" dxfId="66" priority="67" operator="equal">
      <formula>"㉕"</formula>
    </cfRule>
  </conditionalFormatting>
  <conditionalFormatting sqref="D18:AH19">
    <cfRule type="containsText" dxfId="65" priority="2" operator="containsText" text="休">
      <formula>NOT(ISERROR(SEARCH("休",D18)))</formula>
    </cfRule>
    <cfRule type="cellIs" dxfId="64" priority="3" operator="equal">
      <formula>"㉕"</formula>
    </cfRule>
    <cfRule type="cellIs" dxfId="63" priority="4" operator="equal">
      <formula>"休"</formula>
    </cfRule>
    <cfRule type="containsText" dxfId="62" priority="1" operator="containsText" text="㉕">
      <formula>NOT(ISERROR(SEARCH("㉕",D18)))</formula>
    </cfRule>
  </conditionalFormatting>
  <conditionalFormatting sqref="F8:I8">
    <cfRule type="cellIs" dxfId="61" priority="145" operator="equal">
      <formula>"休"</formula>
    </cfRule>
    <cfRule type="cellIs" dxfId="60" priority="144" operator="equal">
      <formula>"㉕"</formula>
    </cfRule>
    <cfRule type="containsText" dxfId="59" priority="143" operator="containsText" text="休">
      <formula>NOT(ISERROR(SEARCH("休",F8)))</formula>
    </cfRule>
  </conditionalFormatting>
  <conditionalFormatting sqref="F8:S8">
    <cfRule type="containsText" dxfId="58" priority="139" operator="containsText" text="㉕">
      <formula>NOT(ISERROR(SEARCH("㉕",F8)))</formula>
    </cfRule>
  </conditionalFormatting>
  <conditionalFormatting sqref="J8:K8">
    <cfRule type="containsText" dxfId="57" priority="138" operator="containsText" text="休">
      <formula>NOT(ISERROR(SEARCH("休",J8)))</formula>
    </cfRule>
  </conditionalFormatting>
  <conditionalFormatting sqref="L16">
    <cfRule type="containsText" dxfId="56" priority="91" operator="containsText" text="休">
      <formula>NOT(ISERROR(SEARCH("休",L16)))</formula>
    </cfRule>
    <cfRule type="cellIs" dxfId="55" priority="92" operator="equal">
      <formula>"㉕"</formula>
    </cfRule>
    <cfRule type="cellIs" dxfId="54" priority="93" operator="equal">
      <formula>"休"</formula>
    </cfRule>
  </conditionalFormatting>
  <conditionalFormatting sqref="L8:S8">
    <cfRule type="containsText" dxfId="53" priority="140" operator="containsText" text="休">
      <formula>NOT(ISERROR(SEARCH("休",L8)))</formula>
    </cfRule>
    <cfRule type="cellIs" dxfId="52" priority="142" operator="equal">
      <formula>"休"</formula>
    </cfRule>
    <cfRule type="cellIs" dxfId="51" priority="141" operator="equal">
      <formula>"㉕"</formula>
    </cfRule>
  </conditionalFormatting>
  <conditionalFormatting sqref="N17">
    <cfRule type="containsText" dxfId="50" priority="78" operator="containsText" text="㉕">
      <formula>NOT(ISERROR(SEARCH("㉕",N17)))</formula>
    </cfRule>
  </conditionalFormatting>
  <conditionalFormatting sqref="N17:O17">
    <cfRule type="containsText" dxfId="49" priority="79" operator="containsText" text="休">
      <formula>NOT(ISERROR(SEARCH("休",N17)))</formula>
    </cfRule>
    <cfRule type="cellIs" dxfId="48" priority="80" operator="equal">
      <formula>"㉕"</formula>
    </cfRule>
    <cfRule type="cellIs" dxfId="47" priority="81" operator="equal">
      <formula>"休"</formula>
    </cfRule>
  </conditionalFormatting>
  <conditionalFormatting sqref="N16:X16">
    <cfRule type="containsText" dxfId="46" priority="61" operator="containsText" text="㉕">
      <formula>NOT(ISERROR(SEARCH("㉕",N16)))</formula>
    </cfRule>
    <cfRule type="containsText" dxfId="45" priority="62" operator="containsText" text="休">
      <formula>NOT(ISERROR(SEARCH("休",N16)))</formula>
    </cfRule>
    <cfRule type="cellIs" dxfId="44" priority="63" operator="equal">
      <formula>"㉕"</formula>
    </cfRule>
    <cfRule type="cellIs" dxfId="43" priority="64" operator="equal">
      <formula>"休"</formula>
    </cfRule>
  </conditionalFormatting>
  <conditionalFormatting sqref="O17:AH17">
    <cfRule type="cellIs" dxfId="42" priority="121" operator="equal">
      <formula>"休"</formula>
    </cfRule>
    <cfRule type="cellIs" dxfId="41" priority="120" operator="equal">
      <formula>"㉕"</formula>
    </cfRule>
    <cfRule type="containsText" dxfId="40" priority="119" operator="containsText" text="休">
      <formula>NOT(ISERROR(SEARCH("休",O17)))</formula>
    </cfRule>
    <cfRule type="containsText" dxfId="39" priority="118" operator="containsText" text="㉕">
      <formula>NOT(ISERROR(SEARCH("㉕",O17)))</formula>
    </cfRule>
  </conditionalFormatting>
  <conditionalFormatting sqref="R9">
    <cfRule type="containsText" dxfId="38" priority="137" operator="containsText" text="㉕">
      <formula>NOT(ISERROR(SEARCH("㉕",R9)))</formula>
    </cfRule>
  </conditionalFormatting>
  <conditionalFormatting sqref="R10">
    <cfRule type="containsText" dxfId="37" priority="69" operator="containsText" text="㉕">
      <formula>NOT(ISERROR(SEARCH("㉕",R10)))</formula>
    </cfRule>
    <cfRule type="cellIs" dxfId="36" priority="72" operator="equal">
      <formula>"休"</formula>
    </cfRule>
    <cfRule type="cellIs" dxfId="35" priority="71" operator="equal">
      <formula>"㉕"</formula>
    </cfRule>
  </conditionalFormatting>
  <conditionalFormatting sqref="R10:S10">
    <cfRule type="containsText" dxfId="34" priority="70" operator="containsText" text="休">
      <formula>NOT(ISERROR(SEARCH("休",R10)))</formula>
    </cfRule>
  </conditionalFormatting>
  <conditionalFormatting sqref="S9:Y9">
    <cfRule type="cellIs" dxfId="33" priority="100" operator="equal">
      <formula>"㉕"</formula>
    </cfRule>
    <cfRule type="cellIs" dxfId="32" priority="101" operator="equal">
      <formula>"休"</formula>
    </cfRule>
  </conditionalFormatting>
  <conditionalFormatting sqref="S9:Z9">
    <cfRule type="containsText" dxfId="31" priority="98" operator="containsText" text="㉕">
      <formula>NOT(ISERROR(SEARCH("㉕",S9)))</formula>
    </cfRule>
  </conditionalFormatting>
  <conditionalFormatting sqref="S10:AH10">
    <cfRule type="containsText" dxfId="30" priority="73" operator="containsText" text="㉕">
      <formula>NOT(ISERROR(SEARCH("㉕",S10)))</formula>
    </cfRule>
  </conditionalFormatting>
  <conditionalFormatting sqref="T8:AH8">
    <cfRule type="cellIs" dxfId="29" priority="109" operator="equal">
      <formula>"休"</formula>
    </cfRule>
    <cfRule type="cellIs" dxfId="28" priority="108" operator="equal">
      <formula>"㉕"</formula>
    </cfRule>
    <cfRule type="containsText" dxfId="27" priority="107" operator="containsText" text="休">
      <formula>NOT(ISERROR(SEARCH("休",T8)))</formula>
    </cfRule>
    <cfRule type="containsText" dxfId="26" priority="106" operator="containsText" text="㉕">
      <formula>NOT(ISERROR(SEARCH("㉕",T8)))</formula>
    </cfRule>
  </conditionalFormatting>
  <conditionalFormatting sqref="T10:AH10">
    <cfRule type="containsText" dxfId="25" priority="102" operator="containsText" text="休">
      <formula>NOT(ISERROR(SEARCH("休",T10)))</formula>
    </cfRule>
    <cfRule type="cellIs" dxfId="24" priority="104" operator="equal">
      <formula>"休"</formula>
    </cfRule>
    <cfRule type="cellIs" dxfId="23" priority="103" operator="equal">
      <formula>"㉕"</formula>
    </cfRule>
  </conditionalFormatting>
  <conditionalFormatting sqref="U17">
    <cfRule type="cellIs" dxfId="22" priority="90" operator="equal">
      <formula>"休"</formula>
    </cfRule>
    <cfRule type="cellIs" dxfId="21" priority="89" operator="equal">
      <formula>"㉕"</formula>
    </cfRule>
    <cfRule type="containsText" dxfId="20" priority="88" operator="containsText" text="休">
      <formula>NOT(ISERROR(SEARCH("休",U17)))</formula>
    </cfRule>
  </conditionalFormatting>
  <conditionalFormatting sqref="Y15:Y16">
    <cfRule type="containsText" dxfId="19" priority="122" operator="containsText" text="休">
      <formula>NOT(ISERROR(SEARCH("休",Y15)))</formula>
    </cfRule>
  </conditionalFormatting>
  <conditionalFormatting sqref="Y16:AA16">
    <cfRule type="cellIs" dxfId="18" priority="123" operator="equal">
      <formula>"㉕"</formula>
    </cfRule>
  </conditionalFormatting>
  <conditionalFormatting sqref="Y16:AH16">
    <cfRule type="cellIs" dxfId="17" priority="117" operator="equal">
      <formula>"休"</formula>
    </cfRule>
    <cfRule type="containsText" dxfId="16" priority="114" operator="containsText" text="㉕">
      <formula>NOT(ISERROR(SEARCH("㉕",Y16)))</formula>
    </cfRule>
  </conditionalFormatting>
  <conditionalFormatting sqref="Z9:AH9">
    <cfRule type="containsText" dxfId="15" priority="95" operator="containsText" text="休">
      <formula>NOT(ISERROR(SEARCH("休",Z9)))</formula>
    </cfRule>
  </conditionalFormatting>
  <conditionalFormatting sqref="Z15:AH15">
    <cfRule type="containsText" dxfId="14" priority="110" operator="containsText" text="㉕">
      <formula>NOT(ISERROR(SEARCH("㉕",Z15)))</formula>
    </cfRule>
    <cfRule type="cellIs" dxfId="13" priority="113" operator="equal">
      <formula>"休"</formula>
    </cfRule>
    <cfRule type="cellIs" dxfId="12" priority="112" operator="equal">
      <formula>"㉕"</formula>
    </cfRule>
    <cfRule type="containsText" dxfId="11" priority="111" operator="containsText" text="休">
      <formula>NOT(ISERROR(SEARCH("休",Z15)))</formula>
    </cfRule>
  </conditionalFormatting>
  <conditionalFormatting sqref="Z16:AH16">
    <cfRule type="containsText" dxfId="10" priority="115" operator="containsText" text="休">
      <formula>NOT(ISERROR(SEARCH("休",Z16)))</formula>
    </cfRule>
  </conditionalFormatting>
  <conditionalFormatting sqref="AA9:AH9">
    <cfRule type="cellIs" dxfId="9" priority="96" operator="equal">
      <formula>"㉕"</formula>
    </cfRule>
    <cfRule type="containsText" dxfId="8" priority="94" operator="containsText" text="㉕">
      <formula>NOT(ISERROR(SEARCH("㉕",AA9)))</formula>
    </cfRule>
    <cfRule type="cellIs" dxfId="7" priority="97" operator="equal">
      <formula>"休"</formula>
    </cfRule>
  </conditionalFormatting>
  <conditionalFormatting sqref="AB16:AH16">
    <cfRule type="cellIs" dxfId="6" priority="116" operator="equal">
      <formula>"㉕"</formula>
    </cfRule>
  </conditionalFormatting>
  <conditionalFormatting sqref="AC15">
    <cfRule type="cellIs" dxfId="5" priority="86" operator="equal">
      <formula>"㉕"</formula>
    </cfRule>
    <cfRule type="containsText" dxfId="4" priority="85" operator="containsText" text="休">
      <formula>NOT(ISERROR(SEARCH("休",AC15)))</formula>
    </cfRule>
    <cfRule type="cellIs" dxfId="3" priority="87" operator="equal">
      <formula>"休"</formula>
    </cfRule>
  </conditionalFormatting>
  <conditionalFormatting sqref="AF16">
    <cfRule type="cellIs" dxfId="2" priority="83" operator="equal">
      <formula>"㉕"</formula>
    </cfRule>
    <cfRule type="containsText" dxfId="1" priority="82" operator="containsText" text="休">
      <formula>NOT(ISERROR(SEARCH("休",AF16)))</formula>
    </cfRule>
    <cfRule type="cellIs" dxfId="0" priority="84" operator="equal">
      <formula>"休"</formula>
    </cfRule>
  </conditionalFormatting>
  <pageMargins left="0.19685039370078741" right="0.11811023622047245" top="0.11811023622047245" bottom="0.35433070866141736" header="0.31496062992125984" footer="0.31496062992125984"/>
  <pageSetup paperSize="9" scale="37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6CBEB-CB61-4F5F-82AD-9ADAAEB1DCC4}">
  <dimension ref="A1:AP33"/>
  <sheetViews>
    <sheetView topLeftCell="A8" workbookViewId="0">
      <pane xSplit="1" topLeftCell="B1" activePane="topRight" state="frozen"/>
      <selection pane="topRight" activeCell="B27" sqref="B27:AE27"/>
    </sheetView>
  </sheetViews>
  <sheetFormatPr defaultRowHeight="13" x14ac:dyDescent="0.2"/>
  <cols>
    <col min="1" max="1" width="17.54296875" bestFit="1" customWidth="1"/>
  </cols>
  <sheetData>
    <row r="1" spans="1:42" ht="21" customHeight="1" x14ac:dyDescent="0.2">
      <c r="A1" t="s">
        <v>247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96">
        <v>1</v>
      </c>
      <c r="AG1" s="185">
        <v>3</v>
      </c>
      <c r="AH1" s="185">
        <v>7</v>
      </c>
      <c r="AI1" s="185">
        <v>8</v>
      </c>
      <c r="AJ1" s="185">
        <v>14</v>
      </c>
      <c r="AK1" s="185">
        <v>15</v>
      </c>
      <c r="AL1" s="185">
        <v>21</v>
      </c>
      <c r="AM1" s="185">
        <v>22</v>
      </c>
      <c r="AN1" s="185">
        <v>23</v>
      </c>
      <c r="AO1" s="185">
        <v>28</v>
      </c>
      <c r="AP1" s="185">
        <v>29</v>
      </c>
    </row>
    <row r="2" spans="1:42" ht="21" customHeight="1" x14ac:dyDescent="0.2">
      <c r="A2" t="s">
        <v>248</v>
      </c>
      <c r="B2" s="2" t="s">
        <v>107</v>
      </c>
      <c r="C2" s="2" t="s">
        <v>141</v>
      </c>
      <c r="D2" s="2" t="s">
        <v>155</v>
      </c>
      <c r="E2" s="2" t="s">
        <v>168</v>
      </c>
      <c r="F2" s="2" t="s">
        <v>178</v>
      </c>
      <c r="G2" s="2" t="s">
        <v>108</v>
      </c>
      <c r="H2" s="2" t="s">
        <v>610</v>
      </c>
      <c r="I2" s="2" t="s">
        <v>611</v>
      </c>
      <c r="J2" s="2" t="s">
        <v>141</v>
      </c>
      <c r="K2" s="2" t="s">
        <v>155</v>
      </c>
      <c r="L2" s="2" t="s">
        <v>168</v>
      </c>
      <c r="M2" s="2" t="s">
        <v>178</v>
      </c>
      <c r="N2" s="2" t="s">
        <v>108</v>
      </c>
      <c r="O2" s="2" t="s">
        <v>610</v>
      </c>
      <c r="P2" s="2" t="s">
        <v>611</v>
      </c>
      <c r="Q2" s="2" t="s">
        <v>141</v>
      </c>
      <c r="R2" s="2" t="s">
        <v>155</v>
      </c>
      <c r="S2" s="2" t="s">
        <v>168</v>
      </c>
      <c r="T2" s="2" t="s">
        <v>178</v>
      </c>
      <c r="U2" s="2" t="s">
        <v>108</v>
      </c>
      <c r="V2" s="2" t="s">
        <v>610</v>
      </c>
      <c r="W2" s="2" t="s">
        <v>611</v>
      </c>
      <c r="X2" s="2" t="s">
        <v>645</v>
      </c>
      <c r="Y2" s="2" t="s">
        <v>155</v>
      </c>
      <c r="Z2" s="2" t="s">
        <v>168</v>
      </c>
      <c r="AA2" s="2" t="s">
        <v>178</v>
      </c>
      <c r="AB2" s="2" t="s">
        <v>108</v>
      </c>
      <c r="AC2" s="2" t="s">
        <v>610</v>
      </c>
      <c r="AD2" s="2" t="s">
        <v>611</v>
      </c>
      <c r="AE2" s="2" t="s">
        <v>645</v>
      </c>
      <c r="AF2" s="197" t="s">
        <v>107</v>
      </c>
      <c r="AG2" s="186" t="s">
        <v>155</v>
      </c>
      <c r="AH2" s="186" t="s">
        <v>610</v>
      </c>
      <c r="AI2" s="186" t="s">
        <v>611</v>
      </c>
      <c r="AJ2" s="186" t="s">
        <v>610</v>
      </c>
      <c r="AK2" s="186" t="s">
        <v>611</v>
      </c>
      <c r="AL2" s="186" t="s">
        <v>610</v>
      </c>
      <c r="AM2" s="186" t="s">
        <v>611</v>
      </c>
      <c r="AN2" s="186" t="s">
        <v>645</v>
      </c>
      <c r="AO2" s="186" t="s">
        <v>610</v>
      </c>
      <c r="AP2" s="186" t="s">
        <v>611</v>
      </c>
    </row>
    <row r="3" spans="1:42" ht="20.5" x14ac:dyDescent="0.2">
      <c r="A3" t="s">
        <v>249</v>
      </c>
      <c r="B3" s="1" t="s">
        <v>34</v>
      </c>
      <c r="C3" s="1" t="s">
        <v>112</v>
      </c>
      <c r="D3" s="1" t="s">
        <v>48</v>
      </c>
      <c r="E3" s="1" t="s">
        <v>49</v>
      </c>
      <c r="F3" s="1" t="s">
        <v>28</v>
      </c>
      <c r="G3" s="1" t="s">
        <v>51</v>
      </c>
      <c r="H3" s="1" t="s">
        <v>30</v>
      </c>
      <c r="I3" s="1" t="s">
        <v>54</v>
      </c>
      <c r="J3" s="1" t="s">
        <v>27</v>
      </c>
      <c r="K3" s="1" t="s">
        <v>32</v>
      </c>
      <c r="L3" s="1" t="s">
        <v>28</v>
      </c>
      <c r="M3" s="1" t="s">
        <v>50</v>
      </c>
      <c r="N3" s="1" t="s">
        <v>47</v>
      </c>
      <c r="O3" s="1" t="s">
        <v>49</v>
      </c>
      <c r="P3" s="1" t="s">
        <v>28</v>
      </c>
      <c r="Q3" s="1" t="s">
        <v>50</v>
      </c>
      <c r="R3" s="1" t="s">
        <v>209</v>
      </c>
      <c r="S3" s="1" t="s">
        <v>29</v>
      </c>
      <c r="T3" s="1" t="s">
        <v>33</v>
      </c>
      <c r="U3" s="1" t="s">
        <v>51</v>
      </c>
      <c r="V3" s="1" t="s">
        <v>30</v>
      </c>
      <c r="W3" s="1" t="s">
        <v>33</v>
      </c>
      <c r="X3" s="1" t="s">
        <v>384</v>
      </c>
      <c r="Y3" s="1" t="s">
        <v>53</v>
      </c>
      <c r="Z3" s="1" t="s">
        <v>29</v>
      </c>
      <c r="AA3" s="1" t="s">
        <v>50</v>
      </c>
      <c r="AB3" s="1" t="s">
        <v>48</v>
      </c>
      <c r="AC3" s="1" t="s">
        <v>26</v>
      </c>
      <c r="AD3" s="1" t="s">
        <v>52</v>
      </c>
      <c r="AE3" s="1" t="s">
        <v>112</v>
      </c>
      <c r="AF3" s="198" t="s">
        <v>48</v>
      </c>
      <c r="AG3" s="185" t="s">
        <v>29</v>
      </c>
      <c r="AH3" s="185" t="s">
        <v>28</v>
      </c>
      <c r="AI3" s="185" t="s">
        <v>29</v>
      </c>
      <c r="AJ3" s="185" t="s">
        <v>31</v>
      </c>
      <c r="AK3" s="185" t="s">
        <v>53</v>
      </c>
      <c r="AL3" s="185" t="s">
        <v>46</v>
      </c>
      <c r="AM3" s="185" t="s">
        <v>34</v>
      </c>
      <c r="AN3" s="185" t="s">
        <v>44</v>
      </c>
      <c r="AO3" s="185" t="s">
        <v>33</v>
      </c>
      <c r="AP3" s="185" t="s">
        <v>31</v>
      </c>
    </row>
    <row r="4" spans="1:42" ht="20.5" x14ac:dyDescent="0.2">
      <c r="A4" t="s">
        <v>249</v>
      </c>
      <c r="B4" s="3" t="s">
        <v>399</v>
      </c>
      <c r="C4" s="3" t="s">
        <v>226</v>
      </c>
      <c r="D4" s="3" t="s">
        <v>646</v>
      </c>
      <c r="E4" s="3" t="s">
        <v>647</v>
      </c>
      <c r="F4" s="3" t="s">
        <v>400</v>
      </c>
      <c r="G4" s="3" t="s">
        <v>62</v>
      </c>
      <c r="H4" s="3" t="s">
        <v>175</v>
      </c>
      <c r="I4" s="3" t="s">
        <v>518</v>
      </c>
      <c r="J4" s="3" t="s">
        <v>136</v>
      </c>
      <c r="K4" s="3" t="s">
        <v>648</v>
      </c>
      <c r="L4" s="3" t="s">
        <v>460</v>
      </c>
      <c r="M4" s="3" t="s">
        <v>127</v>
      </c>
      <c r="N4" s="3" t="s">
        <v>57</v>
      </c>
      <c r="O4" s="3" t="s">
        <v>61</v>
      </c>
      <c r="P4" s="3" t="s">
        <v>649</v>
      </c>
      <c r="Q4" s="3" t="s">
        <v>222</v>
      </c>
      <c r="R4" s="3" t="s">
        <v>210</v>
      </c>
      <c r="S4" s="3" t="s">
        <v>59</v>
      </c>
      <c r="T4" s="3" t="s">
        <v>179</v>
      </c>
      <c r="U4" s="3" t="s">
        <v>398</v>
      </c>
      <c r="V4" s="3" t="s">
        <v>174</v>
      </c>
      <c r="W4" s="3" t="s">
        <v>613</v>
      </c>
      <c r="X4" s="3" t="s">
        <v>388</v>
      </c>
      <c r="Y4" s="3" t="s">
        <v>404</v>
      </c>
      <c r="Z4" s="3" t="s">
        <v>616</v>
      </c>
      <c r="AA4" s="3" t="s">
        <v>64</v>
      </c>
      <c r="AB4" s="3" t="s">
        <v>395</v>
      </c>
      <c r="AC4" s="3" t="s">
        <v>194</v>
      </c>
      <c r="AD4" s="3" t="s">
        <v>650</v>
      </c>
      <c r="AE4" s="3" t="s">
        <v>651</v>
      </c>
      <c r="AF4" s="199" t="s">
        <v>156</v>
      </c>
      <c r="AG4" s="187" t="s">
        <v>37</v>
      </c>
      <c r="AH4" s="187" t="s">
        <v>36</v>
      </c>
      <c r="AI4" s="187" t="s">
        <v>225</v>
      </c>
      <c r="AJ4" s="187" t="s">
        <v>242</v>
      </c>
      <c r="AK4" s="187" t="s">
        <v>219</v>
      </c>
      <c r="AL4" s="187" t="s">
        <v>206</v>
      </c>
      <c r="AM4" s="187" t="s">
        <v>40</v>
      </c>
      <c r="AN4" s="187" t="s">
        <v>169</v>
      </c>
      <c r="AO4" s="187" t="s">
        <v>39</v>
      </c>
      <c r="AP4" s="187" t="s">
        <v>38</v>
      </c>
    </row>
    <row r="5" spans="1:42" ht="20.5" x14ac:dyDescent="0.2">
      <c r="A5" t="s">
        <v>250</v>
      </c>
      <c r="B5" s="4" t="s">
        <v>125</v>
      </c>
      <c r="C5" s="4" t="s">
        <v>157</v>
      </c>
      <c r="D5" s="4" t="s">
        <v>148</v>
      </c>
      <c r="E5" s="4" t="s">
        <v>110</v>
      </c>
      <c r="F5" s="4" t="s">
        <v>157</v>
      </c>
      <c r="G5" s="4" t="s">
        <v>119</v>
      </c>
      <c r="H5" s="4" t="s">
        <v>148</v>
      </c>
      <c r="I5" s="4" t="s">
        <v>118</v>
      </c>
      <c r="J5" s="4" t="s">
        <v>157</v>
      </c>
      <c r="K5" s="4" t="s">
        <v>118</v>
      </c>
      <c r="L5" s="4" t="s">
        <v>110</v>
      </c>
      <c r="M5" s="4" t="s">
        <v>119</v>
      </c>
      <c r="N5" s="4" t="s">
        <v>157</v>
      </c>
      <c r="O5" s="4" t="s">
        <v>110</v>
      </c>
      <c r="P5" s="4" t="s">
        <v>157</v>
      </c>
      <c r="Q5" s="4" t="s">
        <v>148</v>
      </c>
      <c r="R5" s="4" t="s">
        <v>118</v>
      </c>
      <c r="S5" s="4" t="s">
        <v>157</v>
      </c>
      <c r="T5" s="4" t="s">
        <v>119</v>
      </c>
      <c r="U5" s="4" t="s">
        <v>157</v>
      </c>
      <c r="V5" s="4" t="s">
        <v>148</v>
      </c>
      <c r="W5" s="4" t="s">
        <v>110</v>
      </c>
      <c r="X5" s="4" t="s">
        <v>157</v>
      </c>
      <c r="Y5" s="4" t="s">
        <v>118</v>
      </c>
      <c r="Z5" s="4" t="s">
        <v>110</v>
      </c>
      <c r="AA5" s="4" t="s">
        <v>148</v>
      </c>
      <c r="AB5" s="4" t="s">
        <v>157</v>
      </c>
      <c r="AC5" s="4" t="s">
        <v>119</v>
      </c>
      <c r="AD5" s="4" t="s">
        <v>125</v>
      </c>
      <c r="AE5" s="4" t="s">
        <v>148</v>
      </c>
      <c r="AF5" s="200" t="s">
        <v>118</v>
      </c>
      <c r="AG5" s="188" t="s">
        <v>119</v>
      </c>
      <c r="AH5" s="188" t="s">
        <v>110</v>
      </c>
      <c r="AI5" s="188" t="s">
        <v>157</v>
      </c>
      <c r="AJ5" s="188" t="s">
        <v>125</v>
      </c>
      <c r="AK5" s="188" t="s">
        <v>148</v>
      </c>
      <c r="AL5" s="188" t="s">
        <v>119</v>
      </c>
      <c r="AM5" s="188" t="s">
        <v>125</v>
      </c>
      <c r="AN5" s="188" t="s">
        <v>118</v>
      </c>
      <c r="AO5" s="188" t="s">
        <v>110</v>
      </c>
      <c r="AP5" s="188" t="s">
        <v>157</v>
      </c>
    </row>
    <row r="6" spans="1:42" ht="20.5" x14ac:dyDescent="0.2">
      <c r="A6" t="s">
        <v>250</v>
      </c>
      <c r="B6" s="3" t="s">
        <v>120</v>
      </c>
      <c r="C6" s="3" t="s">
        <v>149</v>
      </c>
      <c r="D6" s="3" t="s">
        <v>652</v>
      </c>
      <c r="E6" s="3" t="s">
        <v>120</v>
      </c>
      <c r="F6" s="3" t="s">
        <v>149</v>
      </c>
      <c r="G6" s="3" t="s">
        <v>211</v>
      </c>
      <c r="H6" s="3" t="s">
        <v>120</v>
      </c>
      <c r="I6" s="3" t="s">
        <v>119</v>
      </c>
      <c r="J6" s="3" t="s">
        <v>126</v>
      </c>
      <c r="K6" s="3" t="s">
        <v>120</v>
      </c>
      <c r="L6" s="3" t="s">
        <v>149</v>
      </c>
      <c r="M6" s="3" t="s">
        <v>120</v>
      </c>
      <c r="N6" s="3" t="s">
        <v>126</v>
      </c>
      <c r="O6" s="3" t="s">
        <v>118</v>
      </c>
      <c r="P6" s="3" t="s">
        <v>126</v>
      </c>
      <c r="Q6" s="3" t="s">
        <v>110</v>
      </c>
      <c r="R6" s="3" t="s">
        <v>229</v>
      </c>
      <c r="S6" s="3" t="s">
        <v>149</v>
      </c>
      <c r="T6" s="3" t="s">
        <v>126</v>
      </c>
      <c r="U6" s="3" t="s">
        <v>120</v>
      </c>
      <c r="V6" s="3" t="s">
        <v>126</v>
      </c>
      <c r="W6" s="3" t="s">
        <v>149</v>
      </c>
      <c r="X6" s="3" t="s">
        <v>126</v>
      </c>
      <c r="Y6" s="3" t="s">
        <v>229</v>
      </c>
      <c r="Z6" s="3" t="s">
        <v>119</v>
      </c>
      <c r="AA6" s="3" t="s">
        <v>149</v>
      </c>
      <c r="AB6" s="3" t="s">
        <v>126</v>
      </c>
      <c r="AC6" s="3" t="s">
        <v>120</v>
      </c>
      <c r="AD6" s="3" t="s">
        <v>126</v>
      </c>
      <c r="AE6" s="3" t="s">
        <v>120</v>
      </c>
      <c r="AF6" s="199" t="s">
        <v>126</v>
      </c>
      <c r="AG6" s="187" t="s">
        <v>120</v>
      </c>
      <c r="AH6" s="187" t="s">
        <v>149</v>
      </c>
      <c r="AI6" s="187" t="s">
        <v>149</v>
      </c>
      <c r="AJ6" s="187" t="s">
        <v>120</v>
      </c>
      <c r="AK6" s="187" t="s">
        <v>119</v>
      </c>
      <c r="AL6" s="187" t="s">
        <v>126</v>
      </c>
      <c r="AM6" s="187" t="s">
        <v>149</v>
      </c>
      <c r="AN6" s="187" t="s">
        <v>120</v>
      </c>
      <c r="AO6" s="187" t="s">
        <v>118</v>
      </c>
      <c r="AP6" s="187" t="s">
        <v>149</v>
      </c>
    </row>
    <row r="7" spans="1:42" ht="20.5" x14ac:dyDescent="0.2">
      <c r="A7" t="s">
        <v>250</v>
      </c>
      <c r="B7" s="8"/>
      <c r="C7" s="5"/>
      <c r="D7" s="8"/>
      <c r="E7" s="5"/>
      <c r="F7" s="8"/>
      <c r="G7" s="8"/>
      <c r="H7" s="8"/>
      <c r="I7" s="5"/>
      <c r="J7" s="8"/>
      <c r="K7" s="8"/>
      <c r="L7" s="5"/>
      <c r="M7" s="8"/>
      <c r="N7" s="8"/>
      <c r="O7" s="8"/>
      <c r="P7" s="8"/>
      <c r="Q7" s="8"/>
      <c r="R7" s="5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201"/>
      <c r="AG7" s="189"/>
      <c r="AH7" s="195"/>
      <c r="AI7" s="189"/>
      <c r="AJ7" s="195"/>
      <c r="AK7" s="189"/>
      <c r="AL7" s="189"/>
      <c r="AM7" s="202"/>
      <c r="AN7" s="189"/>
      <c r="AO7" s="202"/>
      <c r="AP7" s="189"/>
    </row>
    <row r="8" spans="1:42" ht="61.5" x14ac:dyDescent="0.2">
      <c r="A8" t="s">
        <v>251</v>
      </c>
      <c r="B8" s="6" t="s">
        <v>142</v>
      </c>
      <c r="C8" s="6" t="s">
        <v>183</v>
      </c>
      <c r="D8" s="6" t="s">
        <v>130</v>
      </c>
      <c r="E8" s="6" t="s">
        <v>121</v>
      </c>
      <c r="F8" s="11" t="s">
        <v>617</v>
      </c>
      <c r="G8" s="6" t="s">
        <v>170</v>
      </c>
      <c r="H8" s="6" t="s">
        <v>158</v>
      </c>
      <c r="I8" s="6" t="s">
        <v>183</v>
      </c>
      <c r="J8" s="6" t="s">
        <v>142</v>
      </c>
      <c r="K8" s="6" t="s">
        <v>111</v>
      </c>
      <c r="L8" s="6" t="s">
        <v>158</v>
      </c>
      <c r="M8" s="11" t="s">
        <v>653</v>
      </c>
      <c r="N8" s="6" t="s">
        <v>121</v>
      </c>
      <c r="O8" s="6" t="s">
        <v>170</v>
      </c>
      <c r="P8" s="6" t="s">
        <v>142</v>
      </c>
      <c r="Q8" s="6" t="s">
        <v>158</v>
      </c>
      <c r="R8" s="6" t="s">
        <v>111</v>
      </c>
      <c r="S8" s="6" t="s">
        <v>121</v>
      </c>
      <c r="T8" s="11" t="s">
        <v>617</v>
      </c>
      <c r="U8" s="6" t="s">
        <v>142</v>
      </c>
      <c r="V8" s="6" t="s">
        <v>121</v>
      </c>
      <c r="W8" s="6" t="s">
        <v>111</v>
      </c>
      <c r="X8" s="6" t="s">
        <v>183</v>
      </c>
      <c r="Y8" s="6" t="s">
        <v>142</v>
      </c>
      <c r="Z8" s="6" t="s">
        <v>121</v>
      </c>
      <c r="AA8" s="11" t="s">
        <v>653</v>
      </c>
      <c r="AB8" s="6" t="s">
        <v>183</v>
      </c>
      <c r="AC8" s="6" t="s">
        <v>170</v>
      </c>
      <c r="AD8" s="6" t="s">
        <v>158</v>
      </c>
      <c r="AE8" s="6" t="s">
        <v>111</v>
      </c>
      <c r="AF8" s="203" t="s">
        <v>142</v>
      </c>
      <c r="AG8" s="190" t="s">
        <v>130</v>
      </c>
      <c r="AH8" s="190" t="s">
        <v>158</v>
      </c>
      <c r="AI8" s="190" t="s">
        <v>183</v>
      </c>
      <c r="AJ8" s="190" t="s">
        <v>170</v>
      </c>
      <c r="AK8" s="190" t="s">
        <v>142</v>
      </c>
      <c r="AL8" s="190" t="s">
        <v>121</v>
      </c>
      <c r="AM8" s="190" t="s">
        <v>111</v>
      </c>
      <c r="AN8" s="190" t="s">
        <v>183</v>
      </c>
      <c r="AO8" s="190" t="s">
        <v>170</v>
      </c>
      <c r="AP8" s="190" t="s">
        <v>158</v>
      </c>
    </row>
    <row r="9" spans="1:42" ht="21" customHeight="1" x14ac:dyDescent="0.2">
      <c r="A9" t="s">
        <v>252</v>
      </c>
      <c r="B9" s="1" t="s">
        <v>26</v>
      </c>
      <c r="C9" s="1" t="s">
        <v>50</v>
      </c>
      <c r="D9" s="1" t="s">
        <v>44</v>
      </c>
      <c r="E9" s="1" t="s">
        <v>30</v>
      </c>
      <c r="F9" s="1" t="s">
        <v>27</v>
      </c>
      <c r="G9" s="1" t="s">
        <v>26</v>
      </c>
      <c r="H9" s="1" t="s">
        <v>112</v>
      </c>
      <c r="I9" s="1" t="s">
        <v>27</v>
      </c>
      <c r="J9" s="1" t="s">
        <v>50</v>
      </c>
      <c r="K9" s="1" t="s">
        <v>46</v>
      </c>
      <c r="L9" s="1" t="s">
        <v>30</v>
      </c>
      <c r="M9" s="1" t="s">
        <v>44</v>
      </c>
      <c r="N9" s="1" t="s">
        <v>112</v>
      </c>
      <c r="O9" s="1" t="s">
        <v>112</v>
      </c>
      <c r="P9" s="1" t="s">
        <v>50</v>
      </c>
      <c r="Q9" s="1" t="s">
        <v>26</v>
      </c>
      <c r="R9" s="1" t="s">
        <v>46</v>
      </c>
      <c r="S9" s="1" t="s">
        <v>30</v>
      </c>
      <c r="T9" s="1" t="s">
        <v>27</v>
      </c>
      <c r="U9" s="1" t="s">
        <v>44</v>
      </c>
      <c r="V9" s="1" t="s">
        <v>112</v>
      </c>
      <c r="W9" s="1" t="s">
        <v>27</v>
      </c>
      <c r="X9" s="1" t="s">
        <v>26</v>
      </c>
      <c r="Y9" s="1" t="s">
        <v>46</v>
      </c>
      <c r="Z9" s="1" t="s">
        <v>30</v>
      </c>
      <c r="AA9" s="1" t="s">
        <v>45</v>
      </c>
      <c r="AB9" s="1" t="s">
        <v>112</v>
      </c>
      <c r="AC9" s="1" t="s">
        <v>27</v>
      </c>
      <c r="AD9" s="1" t="s">
        <v>50</v>
      </c>
      <c r="AE9" s="1" t="s">
        <v>50</v>
      </c>
      <c r="AF9" s="198" t="s">
        <v>45</v>
      </c>
      <c r="AG9" s="185" t="s">
        <v>46</v>
      </c>
      <c r="AH9" s="185" t="s">
        <v>50</v>
      </c>
      <c r="AI9" s="185" t="s">
        <v>112</v>
      </c>
      <c r="AJ9" s="185" t="s">
        <v>46</v>
      </c>
      <c r="AK9" s="185" t="s">
        <v>112</v>
      </c>
      <c r="AL9" s="185" t="s">
        <v>27</v>
      </c>
      <c r="AM9" s="185" t="s">
        <v>46</v>
      </c>
      <c r="AN9" s="185" t="s">
        <v>50</v>
      </c>
      <c r="AO9" s="185" t="s">
        <v>26</v>
      </c>
      <c r="AP9" s="185" t="s">
        <v>44</v>
      </c>
    </row>
    <row r="10" spans="1:42" ht="20.5" x14ac:dyDescent="0.2">
      <c r="A10" t="s">
        <v>252</v>
      </c>
      <c r="B10" s="7" t="s">
        <v>459</v>
      </c>
      <c r="C10" s="7" t="s">
        <v>222</v>
      </c>
      <c r="D10" s="7" t="s">
        <v>654</v>
      </c>
      <c r="E10" s="7" t="s">
        <v>174</v>
      </c>
      <c r="F10" s="7" t="s">
        <v>618</v>
      </c>
      <c r="G10" s="7" t="s">
        <v>198</v>
      </c>
      <c r="H10" s="7" t="s">
        <v>226</v>
      </c>
      <c r="I10" s="7" t="s">
        <v>159</v>
      </c>
      <c r="J10" s="7" t="s">
        <v>615</v>
      </c>
      <c r="K10" s="7" t="s">
        <v>232</v>
      </c>
      <c r="L10" s="7" t="s">
        <v>457</v>
      </c>
      <c r="M10" s="7" t="s">
        <v>169</v>
      </c>
      <c r="N10" s="7" t="s">
        <v>203</v>
      </c>
      <c r="O10" s="7" t="s">
        <v>113</v>
      </c>
      <c r="P10" s="7" t="s">
        <v>64</v>
      </c>
      <c r="Q10" s="7" t="s">
        <v>194</v>
      </c>
      <c r="R10" s="7" t="s">
        <v>129</v>
      </c>
      <c r="S10" s="7" t="s">
        <v>233</v>
      </c>
      <c r="T10" s="7" t="s">
        <v>618</v>
      </c>
      <c r="U10" s="7" t="s">
        <v>55</v>
      </c>
      <c r="V10" s="7" t="s">
        <v>217</v>
      </c>
      <c r="W10" s="7" t="s">
        <v>655</v>
      </c>
      <c r="X10" s="7" t="s">
        <v>656</v>
      </c>
      <c r="Y10" s="7" t="s">
        <v>206</v>
      </c>
      <c r="Z10" s="7" t="s">
        <v>175</v>
      </c>
      <c r="AA10" s="7" t="s">
        <v>171</v>
      </c>
      <c r="AB10" s="7" t="s">
        <v>195</v>
      </c>
      <c r="AC10" s="7" t="s">
        <v>136</v>
      </c>
      <c r="AD10" s="7" t="s">
        <v>127</v>
      </c>
      <c r="AE10" s="7" t="s">
        <v>615</v>
      </c>
      <c r="AF10" s="204" t="s">
        <v>41</v>
      </c>
      <c r="AG10" s="191" t="s">
        <v>56</v>
      </c>
      <c r="AH10" s="191" t="s">
        <v>184</v>
      </c>
      <c r="AI10" s="191" t="s">
        <v>150</v>
      </c>
      <c r="AJ10" s="191" t="s">
        <v>232</v>
      </c>
      <c r="AK10" s="191" t="s">
        <v>612</v>
      </c>
      <c r="AL10" s="191" t="s">
        <v>520</v>
      </c>
      <c r="AM10" s="191" t="s">
        <v>619</v>
      </c>
      <c r="AN10" s="191" t="s">
        <v>614</v>
      </c>
      <c r="AO10" s="191" t="s">
        <v>459</v>
      </c>
      <c r="AP10" s="191" t="s">
        <v>519</v>
      </c>
    </row>
    <row r="11" spans="1:42" ht="20.5" x14ac:dyDescent="0.2">
      <c r="A11" t="s">
        <v>253</v>
      </c>
      <c r="B11" s="1" t="s">
        <v>137</v>
      </c>
      <c r="C11" s="1" t="s">
        <v>122</v>
      </c>
      <c r="D11" s="1" t="s">
        <v>160</v>
      </c>
      <c r="E11" s="1" t="s">
        <v>143</v>
      </c>
      <c r="F11" s="1" t="s">
        <v>15</v>
      </c>
      <c r="G11" s="1" t="s">
        <v>16</v>
      </c>
      <c r="H11" s="1" t="s">
        <v>143</v>
      </c>
      <c r="I11" s="1" t="s">
        <v>137</v>
      </c>
      <c r="J11" s="1" t="s">
        <v>16</v>
      </c>
      <c r="K11" s="1" t="s">
        <v>18</v>
      </c>
      <c r="L11" s="1" t="s">
        <v>17</v>
      </c>
      <c r="M11" s="1" t="s">
        <v>16</v>
      </c>
      <c r="N11" s="1" t="s">
        <v>18</v>
      </c>
      <c r="O11" s="1" t="s">
        <v>122</v>
      </c>
      <c r="P11" s="1" t="s">
        <v>137</v>
      </c>
      <c r="Q11" s="1" t="s">
        <v>160</v>
      </c>
      <c r="R11" s="1" t="s">
        <v>15</v>
      </c>
      <c r="S11" s="1" t="s">
        <v>17</v>
      </c>
      <c r="T11" s="1" t="s">
        <v>16</v>
      </c>
      <c r="U11" s="1" t="s">
        <v>17</v>
      </c>
      <c r="V11" s="1" t="s">
        <v>131</v>
      </c>
      <c r="W11" s="1" t="s">
        <v>137</v>
      </c>
      <c r="X11" s="1" t="s">
        <v>122</v>
      </c>
      <c r="Y11" s="1" t="s">
        <v>160</v>
      </c>
      <c r="Z11" s="1" t="s">
        <v>18</v>
      </c>
      <c r="AA11" s="1" t="s">
        <v>16</v>
      </c>
      <c r="AB11" s="1" t="s">
        <v>15</v>
      </c>
      <c r="AC11" s="1" t="s">
        <v>160</v>
      </c>
      <c r="AD11" s="1" t="s">
        <v>137</v>
      </c>
      <c r="AE11" s="1" t="s">
        <v>143</v>
      </c>
      <c r="AF11" s="198" t="s">
        <v>131</v>
      </c>
      <c r="AG11" s="185" t="s">
        <v>160</v>
      </c>
      <c r="AH11" s="185" t="s">
        <v>143</v>
      </c>
      <c r="AI11" s="185" t="s">
        <v>143</v>
      </c>
      <c r="AJ11" s="185" t="s">
        <v>122</v>
      </c>
      <c r="AK11" s="185" t="s">
        <v>131</v>
      </c>
      <c r="AL11" s="185" t="s">
        <v>131</v>
      </c>
      <c r="AM11" s="185" t="s">
        <v>122</v>
      </c>
      <c r="AN11" s="185" t="s">
        <v>122</v>
      </c>
      <c r="AO11" s="185" t="s">
        <v>160</v>
      </c>
      <c r="AP11" s="185" t="s">
        <v>143</v>
      </c>
    </row>
    <row r="12" spans="1:42" ht="20.5" x14ac:dyDescent="0.2">
      <c r="A12" t="s">
        <v>253</v>
      </c>
      <c r="B12" s="3"/>
      <c r="C12" s="3"/>
      <c r="D12" s="3"/>
      <c r="E12" s="3" t="s">
        <v>462</v>
      </c>
      <c r="F12" s="3" t="s">
        <v>462</v>
      </c>
      <c r="G12" s="3"/>
      <c r="H12" s="3"/>
      <c r="I12" s="3"/>
      <c r="J12" s="3"/>
      <c r="K12" s="3" t="s">
        <v>462</v>
      </c>
      <c r="L12" s="3" t="s">
        <v>462</v>
      </c>
      <c r="M12" s="3" t="s">
        <v>462</v>
      </c>
      <c r="N12" s="3"/>
      <c r="O12" s="3"/>
      <c r="P12" s="3"/>
      <c r="Q12" s="3"/>
      <c r="R12" s="3" t="s">
        <v>462</v>
      </c>
      <c r="S12" s="3" t="s">
        <v>462</v>
      </c>
      <c r="T12" s="3"/>
      <c r="U12" s="3"/>
      <c r="V12" s="3"/>
      <c r="W12" s="3"/>
      <c r="X12" s="3"/>
      <c r="Y12" s="3" t="s">
        <v>462</v>
      </c>
      <c r="Z12" s="3" t="s">
        <v>462</v>
      </c>
      <c r="AA12" s="3" t="s">
        <v>462</v>
      </c>
      <c r="AB12" s="3"/>
      <c r="AC12" s="3"/>
      <c r="AD12" s="3"/>
      <c r="AE12" s="3"/>
      <c r="AF12" s="199"/>
      <c r="AG12" s="187"/>
      <c r="AH12" s="187"/>
      <c r="AI12" s="187"/>
      <c r="AJ12" s="187"/>
      <c r="AK12" s="187"/>
      <c r="AL12" s="187"/>
      <c r="AM12" s="187"/>
      <c r="AN12" s="187"/>
      <c r="AO12" s="187"/>
      <c r="AP12" s="187"/>
    </row>
    <row r="13" spans="1:42" ht="20.5" x14ac:dyDescent="0.2">
      <c r="A13" t="s">
        <v>254</v>
      </c>
      <c r="B13" s="6" t="s">
        <v>282</v>
      </c>
      <c r="C13" s="6" t="s">
        <v>471</v>
      </c>
      <c r="D13" s="6" t="s">
        <v>25</v>
      </c>
      <c r="E13" s="6" t="s">
        <v>279</v>
      </c>
      <c r="F13" s="6" t="s">
        <v>275</v>
      </c>
      <c r="G13" s="6" t="s">
        <v>43</v>
      </c>
      <c r="H13" s="6" t="s">
        <v>658</v>
      </c>
      <c r="I13" s="6" t="s">
        <v>415</v>
      </c>
      <c r="J13" s="6" t="s">
        <v>659</v>
      </c>
      <c r="K13" s="6" t="s">
        <v>280</v>
      </c>
      <c r="L13" s="6" t="s">
        <v>279</v>
      </c>
      <c r="M13" s="6" t="s">
        <v>22</v>
      </c>
      <c r="N13" s="6" t="s">
        <v>281</v>
      </c>
      <c r="O13" s="6" t="s">
        <v>473</v>
      </c>
      <c r="P13" s="6" t="s">
        <v>471</v>
      </c>
      <c r="Q13" s="6" t="s">
        <v>24</v>
      </c>
      <c r="R13" s="6" t="s">
        <v>473</v>
      </c>
      <c r="S13" s="6" t="s">
        <v>25</v>
      </c>
      <c r="T13" s="6" t="s">
        <v>271</v>
      </c>
      <c r="U13" s="6" t="s">
        <v>275</v>
      </c>
      <c r="V13" s="6" t="s">
        <v>414</v>
      </c>
      <c r="W13" s="6" t="s">
        <v>280</v>
      </c>
      <c r="X13" s="6" t="s">
        <v>276</v>
      </c>
      <c r="Y13" s="6" t="s">
        <v>658</v>
      </c>
      <c r="Z13" s="6" t="s">
        <v>281</v>
      </c>
      <c r="AA13" s="6" t="s">
        <v>660</v>
      </c>
      <c r="AB13" s="6" t="s">
        <v>22</v>
      </c>
      <c r="AC13" s="6" t="s">
        <v>24</v>
      </c>
      <c r="AD13" s="6" t="s">
        <v>473</v>
      </c>
      <c r="AE13" s="6" t="s">
        <v>42</v>
      </c>
      <c r="AF13" s="203" t="s">
        <v>276</v>
      </c>
      <c r="AG13" s="190" t="s">
        <v>657</v>
      </c>
      <c r="AH13" s="190" t="s">
        <v>42</v>
      </c>
      <c r="AI13" s="190" t="s">
        <v>271</v>
      </c>
      <c r="AJ13" s="190" t="s">
        <v>660</v>
      </c>
      <c r="AK13" s="190" t="s">
        <v>415</v>
      </c>
      <c r="AL13" s="190" t="s">
        <v>661</v>
      </c>
      <c r="AM13" s="190" t="s">
        <v>281</v>
      </c>
      <c r="AN13" s="190" t="s">
        <v>282</v>
      </c>
      <c r="AO13" s="190" t="s">
        <v>25</v>
      </c>
      <c r="AP13" s="190" t="s">
        <v>280</v>
      </c>
    </row>
    <row r="14" spans="1:42" ht="21" customHeight="1" x14ac:dyDescent="0.2">
      <c r="A14" t="s">
        <v>255</v>
      </c>
      <c r="B14" s="8" t="s">
        <v>621</v>
      </c>
      <c r="C14" s="8" t="s">
        <v>662</v>
      </c>
      <c r="D14" s="8" t="s">
        <v>663</v>
      </c>
      <c r="E14" s="8" t="s">
        <v>574</v>
      </c>
      <c r="F14" s="8" t="s">
        <v>576</v>
      </c>
      <c r="G14" s="8" t="s">
        <v>664</v>
      </c>
      <c r="H14" s="8" t="s">
        <v>405</v>
      </c>
      <c r="I14" s="8" t="s">
        <v>42</v>
      </c>
      <c r="J14" s="8" t="s">
        <v>575</v>
      </c>
      <c r="K14" s="8" t="s">
        <v>521</v>
      </c>
      <c r="L14" s="8" t="s">
        <v>666</v>
      </c>
      <c r="M14" s="8" t="s">
        <v>574</v>
      </c>
      <c r="N14" s="8" t="s">
        <v>196</v>
      </c>
      <c r="O14" s="4" t="s">
        <v>234</v>
      </c>
      <c r="P14" s="8" t="s">
        <v>668</v>
      </c>
      <c r="Q14" s="8" t="s">
        <v>132</v>
      </c>
      <c r="R14" s="8" t="s">
        <v>669</v>
      </c>
      <c r="S14" s="8" t="s">
        <v>238</v>
      </c>
      <c r="T14" s="8" t="s">
        <v>670</v>
      </c>
      <c r="U14" s="8" t="s">
        <v>671</v>
      </c>
      <c r="V14" s="8" t="s">
        <v>672</v>
      </c>
      <c r="W14" s="4" t="s">
        <v>212</v>
      </c>
      <c r="X14" s="8" t="s">
        <v>576</v>
      </c>
      <c r="Y14" s="8" t="s">
        <v>665</v>
      </c>
      <c r="Z14" s="8" t="s">
        <v>392</v>
      </c>
      <c r="AA14" s="8" t="s">
        <v>663</v>
      </c>
      <c r="AB14" s="8" t="s">
        <v>621</v>
      </c>
      <c r="AC14" s="4" t="s">
        <v>150</v>
      </c>
      <c r="AD14" s="8" t="s">
        <v>236</v>
      </c>
      <c r="AE14" s="8" t="s">
        <v>620</v>
      </c>
      <c r="AF14" s="201" t="s">
        <v>575</v>
      </c>
      <c r="AG14" s="189" t="s">
        <v>521</v>
      </c>
      <c r="AH14" s="189" t="s">
        <v>212</v>
      </c>
      <c r="AI14" s="189" t="s">
        <v>665</v>
      </c>
      <c r="AJ14" s="189" t="s">
        <v>667</v>
      </c>
      <c r="AK14" s="189" t="s">
        <v>663</v>
      </c>
      <c r="AL14" s="189" t="s">
        <v>212</v>
      </c>
      <c r="AM14" s="189" t="s">
        <v>620</v>
      </c>
      <c r="AN14" s="189" t="s">
        <v>132</v>
      </c>
      <c r="AO14" s="189" t="s">
        <v>671</v>
      </c>
      <c r="AP14" s="189" t="s">
        <v>673</v>
      </c>
    </row>
    <row r="15" spans="1:42" ht="20.5" x14ac:dyDescent="0.2">
      <c r="A15" t="s">
        <v>255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12"/>
      <c r="P15" s="7"/>
      <c r="Q15" s="7"/>
      <c r="R15" s="7"/>
      <c r="S15" s="7"/>
      <c r="T15" s="7"/>
      <c r="U15" s="7"/>
      <c r="V15" s="7"/>
      <c r="W15" s="12"/>
      <c r="X15" s="7"/>
      <c r="Y15" s="7"/>
      <c r="Z15" s="7"/>
      <c r="AA15" s="7"/>
      <c r="AB15" s="7"/>
      <c r="AC15" s="12"/>
      <c r="AD15" s="7"/>
      <c r="AE15" s="7"/>
      <c r="AF15" s="204" t="s">
        <v>574</v>
      </c>
      <c r="AG15" s="191" t="s">
        <v>196</v>
      </c>
      <c r="AH15" s="191" t="s">
        <v>674</v>
      </c>
      <c r="AI15" s="191" t="s">
        <v>675</v>
      </c>
      <c r="AJ15" s="191" t="s">
        <v>676</v>
      </c>
      <c r="AK15" s="191" t="s">
        <v>670</v>
      </c>
      <c r="AL15" s="191" t="s">
        <v>405</v>
      </c>
      <c r="AM15" s="191" t="s">
        <v>677</v>
      </c>
      <c r="AN15" s="191" t="s">
        <v>622</v>
      </c>
      <c r="AO15" s="191" t="s">
        <v>196</v>
      </c>
      <c r="AP15" s="191" t="s">
        <v>238</v>
      </c>
    </row>
    <row r="16" spans="1:42" ht="21" customHeight="1" x14ac:dyDescent="0.2">
      <c r="A16" t="s">
        <v>256</v>
      </c>
      <c r="B16" s="3" t="s">
        <v>162</v>
      </c>
      <c r="C16" s="3" t="s">
        <v>190</v>
      </c>
      <c r="D16" s="3" t="s">
        <v>223</v>
      </c>
      <c r="E16" s="3" t="s">
        <v>180</v>
      </c>
      <c r="F16" s="3" t="s">
        <v>161</v>
      </c>
      <c r="G16" s="3" t="s">
        <v>176</v>
      </c>
      <c r="H16" s="3" t="s">
        <v>189</v>
      </c>
      <c r="I16" s="3" t="s">
        <v>164</v>
      </c>
      <c r="J16" s="3" t="s">
        <v>200</v>
      </c>
      <c r="K16" s="3" t="s">
        <v>151</v>
      </c>
      <c r="L16" s="3" t="s">
        <v>185</v>
      </c>
      <c r="M16" s="3" t="s">
        <v>463</v>
      </c>
      <c r="N16" s="3" t="s">
        <v>144</v>
      </c>
      <c r="O16" s="3" t="s">
        <v>683</v>
      </c>
      <c r="P16" s="3" t="s">
        <v>138</v>
      </c>
      <c r="Q16" s="3" t="s">
        <v>114</v>
      </c>
      <c r="R16" s="3" t="s">
        <v>162</v>
      </c>
      <c r="S16" s="3" t="s">
        <v>188</v>
      </c>
      <c r="T16" s="3" t="s">
        <v>189</v>
      </c>
      <c r="U16" s="3" t="s">
        <v>196</v>
      </c>
      <c r="V16" s="3" t="s">
        <v>577</v>
      </c>
      <c r="W16" s="3" t="s">
        <v>223</v>
      </c>
      <c r="X16" s="3" t="s">
        <v>688</v>
      </c>
      <c r="Y16" s="3" t="s">
        <v>220</v>
      </c>
      <c r="Z16" s="3" t="s">
        <v>244</v>
      </c>
      <c r="AA16" s="3" t="s">
        <v>180</v>
      </c>
      <c r="AB16" s="3" t="s">
        <v>123</v>
      </c>
      <c r="AC16" s="3" t="s">
        <v>678</v>
      </c>
      <c r="AD16" s="3" t="s">
        <v>189</v>
      </c>
      <c r="AE16" s="3" t="s">
        <v>138</v>
      </c>
      <c r="AF16" s="199" t="s">
        <v>678</v>
      </c>
      <c r="AG16" s="187" t="s">
        <v>679</v>
      </c>
      <c r="AH16" s="187" t="s">
        <v>680</v>
      </c>
      <c r="AI16" s="187" t="s">
        <v>681</v>
      </c>
      <c r="AJ16" s="187" t="s">
        <v>682</v>
      </c>
      <c r="AK16" s="187" t="s">
        <v>684</v>
      </c>
      <c r="AL16" s="187" t="s">
        <v>685</v>
      </c>
      <c r="AM16" s="187" t="s">
        <v>686</v>
      </c>
      <c r="AN16" s="187" t="s">
        <v>687</v>
      </c>
      <c r="AO16" s="187" t="s">
        <v>680</v>
      </c>
      <c r="AP16" s="187" t="s">
        <v>679</v>
      </c>
    </row>
    <row r="17" spans="1:42" ht="20.5" x14ac:dyDescent="0.2">
      <c r="A17" t="s">
        <v>256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204" t="s">
        <v>689</v>
      </c>
      <c r="AG17" s="191" t="s">
        <v>690</v>
      </c>
      <c r="AH17" s="191" t="s">
        <v>172</v>
      </c>
      <c r="AI17" s="191" t="s">
        <v>188</v>
      </c>
      <c r="AJ17" s="191" t="s">
        <v>133</v>
      </c>
      <c r="AK17" s="191" t="s">
        <v>691</v>
      </c>
      <c r="AL17" s="191" t="s">
        <v>692</v>
      </c>
      <c r="AM17" s="191" t="s">
        <v>164</v>
      </c>
      <c r="AN17" s="191" t="s">
        <v>693</v>
      </c>
      <c r="AO17" s="191" t="s">
        <v>689</v>
      </c>
      <c r="AP17" s="191" t="s">
        <v>681</v>
      </c>
    </row>
    <row r="18" spans="1:42" ht="20.5" x14ac:dyDescent="0.2">
      <c r="A18" t="s">
        <v>257</v>
      </c>
      <c r="B18" s="9" t="s">
        <v>215</v>
      </c>
      <c r="C18" s="9" t="s">
        <v>177</v>
      </c>
      <c r="D18" s="9" t="s">
        <v>139</v>
      </c>
      <c r="E18" s="9" t="s">
        <v>115</v>
      </c>
      <c r="F18" s="9" t="s">
        <v>230</v>
      </c>
      <c r="G18" s="9" t="s">
        <v>228</v>
      </c>
      <c r="H18" s="9" t="s">
        <v>624</v>
      </c>
      <c r="I18" s="9" t="s">
        <v>204</v>
      </c>
      <c r="J18" s="9" t="s">
        <v>694</v>
      </c>
      <c r="K18" s="9" t="s">
        <v>625</v>
      </c>
      <c r="L18" s="9" t="s">
        <v>197</v>
      </c>
      <c r="M18" s="9" t="s">
        <v>207</v>
      </c>
      <c r="N18" s="9" t="s">
        <v>145</v>
      </c>
      <c r="O18" s="9" t="s">
        <v>695</v>
      </c>
      <c r="P18" s="9" t="s">
        <v>245</v>
      </c>
      <c r="Q18" s="9" t="s">
        <v>134</v>
      </c>
      <c r="R18" s="9" t="s">
        <v>237</v>
      </c>
      <c r="S18" s="9" t="s">
        <v>213</v>
      </c>
      <c r="T18" s="9" t="s">
        <v>696</v>
      </c>
      <c r="U18" s="9" t="s">
        <v>139</v>
      </c>
      <c r="V18" s="9" t="s">
        <v>204</v>
      </c>
      <c r="W18" s="9" t="s">
        <v>228</v>
      </c>
      <c r="X18" s="9" t="s">
        <v>239</v>
      </c>
      <c r="Y18" s="9" t="s">
        <v>181</v>
      </c>
      <c r="Z18" s="9" t="s">
        <v>240</v>
      </c>
      <c r="AA18" s="9" t="s">
        <v>694</v>
      </c>
      <c r="AB18" s="9" t="s">
        <v>237</v>
      </c>
      <c r="AC18" s="9" t="s">
        <v>201</v>
      </c>
      <c r="AD18" s="9" t="s">
        <v>124</v>
      </c>
      <c r="AE18" s="9" t="s">
        <v>165</v>
      </c>
      <c r="AF18" s="205" t="s">
        <v>199</v>
      </c>
      <c r="AG18" s="192" t="s">
        <v>173</v>
      </c>
      <c r="AH18" s="192" t="s">
        <v>191</v>
      </c>
      <c r="AI18" s="192" t="s">
        <v>623</v>
      </c>
      <c r="AJ18" s="192" t="s">
        <v>124</v>
      </c>
      <c r="AK18" s="192" t="s">
        <v>243</v>
      </c>
      <c r="AL18" s="192" t="s">
        <v>152</v>
      </c>
      <c r="AM18" s="192" t="s">
        <v>697</v>
      </c>
      <c r="AN18" s="192" t="s">
        <v>245</v>
      </c>
      <c r="AO18" s="192" t="s">
        <v>623</v>
      </c>
      <c r="AP18" s="192" t="s">
        <v>173</v>
      </c>
    </row>
    <row r="19" spans="1:42" ht="21" customHeight="1" x14ac:dyDescent="0.2">
      <c r="A19" t="s">
        <v>258</v>
      </c>
      <c r="B19" s="9" t="s">
        <v>698</v>
      </c>
      <c r="C19" s="9" t="s">
        <v>192</v>
      </c>
      <c r="D19" s="9" t="s">
        <v>182</v>
      </c>
      <c r="E19" s="9" t="s">
        <v>148</v>
      </c>
      <c r="F19" s="9" t="s">
        <v>522</v>
      </c>
      <c r="G19" s="9" t="s">
        <v>526</v>
      </c>
      <c r="H19" s="9" t="s">
        <v>523</v>
      </c>
      <c r="I19" s="9" t="s">
        <v>153</v>
      </c>
      <c r="J19" s="9" t="s">
        <v>529</v>
      </c>
      <c r="K19" s="9" t="s">
        <v>135</v>
      </c>
      <c r="L19" s="9" t="s">
        <v>231</v>
      </c>
      <c r="M19" s="9" t="s">
        <v>218</v>
      </c>
      <c r="N19" s="9" t="s">
        <v>527</v>
      </c>
      <c r="O19" s="9" t="s">
        <v>227</v>
      </c>
      <c r="P19" s="9" t="s">
        <v>464</v>
      </c>
      <c r="Q19" s="9" t="s">
        <v>208</v>
      </c>
      <c r="R19" s="9" t="s">
        <v>525</v>
      </c>
      <c r="S19" s="9" t="s">
        <v>148</v>
      </c>
      <c r="T19" s="9" t="s">
        <v>221</v>
      </c>
      <c r="U19" s="9" t="s">
        <v>626</v>
      </c>
      <c r="V19" s="9" t="s">
        <v>465</v>
      </c>
      <c r="W19" s="9" t="s">
        <v>182</v>
      </c>
      <c r="X19" s="9" t="s">
        <v>526</v>
      </c>
      <c r="Y19" s="9" t="s">
        <v>153</v>
      </c>
      <c r="Z19" s="9" t="s">
        <v>192</v>
      </c>
      <c r="AA19" s="9" t="s">
        <v>186</v>
      </c>
      <c r="AB19" s="9" t="s">
        <v>406</v>
      </c>
      <c r="AC19" s="9" t="s">
        <v>523</v>
      </c>
      <c r="AD19" s="9" t="s">
        <v>466</v>
      </c>
      <c r="AE19" s="9" t="s">
        <v>166</v>
      </c>
      <c r="AF19" s="205" t="s">
        <v>626</v>
      </c>
      <c r="AG19" s="192" t="s">
        <v>466</v>
      </c>
      <c r="AH19" s="192" t="s">
        <v>699</v>
      </c>
      <c r="AI19" s="192" t="s">
        <v>202</v>
      </c>
      <c r="AJ19" s="192" t="s">
        <v>224</v>
      </c>
      <c r="AK19" s="192" t="s">
        <v>524</v>
      </c>
      <c r="AL19" s="192" t="s">
        <v>522</v>
      </c>
      <c r="AM19" s="192" t="s">
        <v>528</v>
      </c>
      <c r="AN19" s="192" t="s">
        <v>692</v>
      </c>
      <c r="AO19" s="192" t="s">
        <v>700</v>
      </c>
      <c r="AP19" s="192" t="s">
        <v>218</v>
      </c>
    </row>
    <row r="20" spans="1:42" ht="21" customHeight="1" x14ac:dyDescent="0.2">
      <c r="A20" t="s">
        <v>259</v>
      </c>
      <c r="B20" s="10" t="s">
        <v>40</v>
      </c>
      <c r="C20" s="10" t="s">
        <v>154</v>
      </c>
      <c r="D20" s="10" t="s">
        <v>140</v>
      </c>
      <c r="E20" s="10" t="s">
        <v>23</v>
      </c>
      <c r="F20" s="10" t="s">
        <v>193</v>
      </c>
      <c r="G20" s="10" t="s">
        <v>407</v>
      </c>
      <c r="H20" s="10" t="s">
        <v>140</v>
      </c>
      <c r="I20" s="10" t="s">
        <v>146</v>
      </c>
      <c r="J20" s="10" t="s">
        <v>407</v>
      </c>
      <c r="K20" s="10" t="s">
        <v>216</v>
      </c>
      <c r="L20" s="10" t="s">
        <v>167</v>
      </c>
      <c r="M20" s="10" t="s">
        <v>23</v>
      </c>
      <c r="N20" s="10" t="s">
        <v>40</v>
      </c>
      <c r="O20" s="10" t="s">
        <v>128</v>
      </c>
      <c r="P20" s="10" t="s">
        <v>146</v>
      </c>
      <c r="Q20" s="10" t="s">
        <v>140</v>
      </c>
      <c r="R20" s="10" t="s">
        <v>167</v>
      </c>
      <c r="S20" s="10" t="s">
        <v>128</v>
      </c>
      <c r="T20" s="10" t="s">
        <v>193</v>
      </c>
      <c r="U20" s="10" t="s">
        <v>40</v>
      </c>
      <c r="V20" s="10" t="s">
        <v>216</v>
      </c>
      <c r="W20" s="10" t="s">
        <v>154</v>
      </c>
      <c r="X20" s="10" t="s">
        <v>167</v>
      </c>
      <c r="Y20" s="10" t="s">
        <v>40</v>
      </c>
      <c r="Z20" s="10" t="s">
        <v>146</v>
      </c>
      <c r="AA20" s="10" t="s">
        <v>193</v>
      </c>
      <c r="AB20" s="10" t="s">
        <v>128</v>
      </c>
      <c r="AC20" s="10" t="s">
        <v>407</v>
      </c>
      <c r="AD20" s="10" t="s">
        <v>23</v>
      </c>
      <c r="AE20" s="10" t="s">
        <v>154</v>
      </c>
      <c r="AF20" s="206" t="s">
        <v>701</v>
      </c>
      <c r="AG20" s="193" t="s">
        <v>167</v>
      </c>
      <c r="AH20" s="193" t="s">
        <v>128</v>
      </c>
      <c r="AI20" s="193" t="s">
        <v>154</v>
      </c>
      <c r="AJ20" s="193" t="s">
        <v>193</v>
      </c>
      <c r="AK20" s="193" t="s">
        <v>408</v>
      </c>
      <c r="AL20" s="193" t="s">
        <v>146</v>
      </c>
      <c r="AM20" s="193" t="s">
        <v>407</v>
      </c>
      <c r="AN20" s="193" t="s">
        <v>40</v>
      </c>
      <c r="AO20" s="193" t="s">
        <v>167</v>
      </c>
      <c r="AP20" s="193" t="s">
        <v>408</v>
      </c>
    </row>
    <row r="21" spans="1:42" ht="20.5" x14ac:dyDescent="0.2">
      <c r="A21" t="s">
        <v>260</v>
      </c>
      <c r="B21" s="6" t="s">
        <v>703</v>
      </c>
      <c r="C21" s="6" t="s">
        <v>704</v>
      </c>
      <c r="D21" s="6" t="s">
        <v>705</v>
      </c>
      <c r="E21" s="6" t="s">
        <v>703</v>
      </c>
      <c r="F21" s="6" t="s">
        <v>704</v>
      </c>
      <c r="G21" s="6" t="s">
        <v>705</v>
      </c>
      <c r="H21" s="6" t="s">
        <v>704</v>
      </c>
      <c r="I21" s="6" t="s">
        <v>705</v>
      </c>
      <c r="J21" s="6" t="s">
        <v>703</v>
      </c>
      <c r="K21" s="6" t="s">
        <v>704</v>
      </c>
      <c r="L21" s="6" t="s">
        <v>705</v>
      </c>
      <c r="M21" s="6" t="s">
        <v>703</v>
      </c>
      <c r="N21" s="6" t="s">
        <v>704</v>
      </c>
      <c r="O21" s="6" t="s">
        <v>705</v>
      </c>
      <c r="P21" s="6" t="s">
        <v>703</v>
      </c>
      <c r="Q21" s="6" t="s">
        <v>704</v>
      </c>
      <c r="R21" s="6" t="s">
        <v>705</v>
      </c>
      <c r="S21" s="6" t="s">
        <v>703</v>
      </c>
      <c r="T21" s="6" t="s">
        <v>704</v>
      </c>
      <c r="U21" s="6" t="s">
        <v>705</v>
      </c>
      <c r="V21" s="6" t="s">
        <v>703</v>
      </c>
      <c r="W21" s="6" t="s">
        <v>704</v>
      </c>
      <c r="X21" s="6" t="s">
        <v>705</v>
      </c>
      <c r="Y21" s="6" t="s">
        <v>703</v>
      </c>
      <c r="Z21" s="6" t="s">
        <v>704</v>
      </c>
      <c r="AA21" s="6" t="s">
        <v>705</v>
      </c>
      <c r="AB21" s="6" t="s">
        <v>703</v>
      </c>
      <c r="AC21" s="6" t="s">
        <v>704</v>
      </c>
      <c r="AD21" s="6" t="s">
        <v>705</v>
      </c>
      <c r="AE21" s="6" t="s">
        <v>703</v>
      </c>
      <c r="AF21" s="207" t="s">
        <v>702</v>
      </c>
      <c r="AG21" s="190" t="s">
        <v>703</v>
      </c>
      <c r="AH21" s="190" t="s">
        <v>706</v>
      </c>
      <c r="AI21" s="190" t="s">
        <v>707</v>
      </c>
      <c r="AJ21" s="190" t="s">
        <v>708</v>
      </c>
      <c r="AK21" s="190" t="s">
        <v>704</v>
      </c>
      <c r="AL21" s="190" t="s">
        <v>704</v>
      </c>
      <c r="AM21" s="190" t="s">
        <v>705</v>
      </c>
      <c r="AN21" s="190" t="s">
        <v>703</v>
      </c>
      <c r="AO21" s="190" t="s">
        <v>705</v>
      </c>
      <c r="AP21" s="190" t="s">
        <v>709</v>
      </c>
    </row>
    <row r="22" spans="1:42" ht="21" customHeight="1" x14ac:dyDescent="0.2">
      <c r="A22" t="s">
        <v>261</v>
      </c>
      <c r="B22" s="1"/>
      <c r="C22" s="1" t="s">
        <v>187</v>
      </c>
      <c r="D22" s="1"/>
      <c r="E22" s="1" t="s">
        <v>38</v>
      </c>
      <c r="F22" s="1" t="s">
        <v>116</v>
      </c>
      <c r="G22" s="1" t="s">
        <v>205</v>
      </c>
      <c r="H22" s="1"/>
      <c r="I22" s="1"/>
      <c r="J22" s="1" t="s">
        <v>116</v>
      </c>
      <c r="K22" s="1" t="s">
        <v>13</v>
      </c>
      <c r="L22" s="1" t="s">
        <v>38</v>
      </c>
      <c r="M22" s="1" t="s">
        <v>205</v>
      </c>
      <c r="N22" s="1" t="s">
        <v>117</v>
      </c>
      <c r="O22" s="1"/>
      <c r="P22" s="1"/>
      <c r="Q22" s="1" t="s">
        <v>205</v>
      </c>
      <c r="R22" s="1" t="s">
        <v>38</v>
      </c>
      <c r="S22" s="1" t="s">
        <v>116</v>
      </c>
      <c r="T22" s="1" t="s">
        <v>205</v>
      </c>
      <c r="U22" s="1" t="s">
        <v>187</v>
      </c>
      <c r="V22" s="1"/>
      <c r="W22" s="1"/>
      <c r="X22" s="1"/>
      <c r="Y22" s="1" t="s">
        <v>117</v>
      </c>
      <c r="Z22" s="1" t="s">
        <v>38</v>
      </c>
      <c r="AA22" s="1" t="s">
        <v>205</v>
      </c>
      <c r="AB22" s="1" t="s">
        <v>116</v>
      </c>
      <c r="AC22" s="1"/>
      <c r="AD22" s="1"/>
      <c r="AE22" s="1" t="s">
        <v>38</v>
      </c>
      <c r="AF22" s="198"/>
      <c r="AG22" s="185"/>
      <c r="AH22" s="185"/>
      <c r="AI22" s="185"/>
      <c r="AJ22" s="185"/>
      <c r="AK22" s="185"/>
      <c r="AL22" s="185"/>
      <c r="AM22" s="185"/>
      <c r="AN22" s="185"/>
      <c r="AO22" s="185"/>
      <c r="AP22" s="185"/>
    </row>
    <row r="23" spans="1:42" ht="20.5" x14ac:dyDescent="0.2">
      <c r="A23" t="s">
        <v>261</v>
      </c>
      <c r="B23" s="7"/>
      <c r="C23" s="7" t="s">
        <v>37</v>
      </c>
      <c r="D23" s="7"/>
      <c r="E23" s="7" t="s">
        <v>13</v>
      </c>
      <c r="F23" s="7" t="s">
        <v>37</v>
      </c>
      <c r="G23" s="7" t="s">
        <v>117</v>
      </c>
      <c r="H23" s="7"/>
      <c r="I23" s="7"/>
      <c r="J23" s="7" t="s">
        <v>187</v>
      </c>
      <c r="K23" s="7" t="s">
        <v>37</v>
      </c>
      <c r="L23" s="7" t="s">
        <v>117</v>
      </c>
      <c r="M23" s="7" t="s">
        <v>187</v>
      </c>
      <c r="N23" s="7" t="s">
        <v>13</v>
      </c>
      <c r="O23" s="7"/>
      <c r="P23" s="7"/>
      <c r="Q23" s="7" t="s">
        <v>187</v>
      </c>
      <c r="R23" s="7" t="s">
        <v>13</v>
      </c>
      <c r="S23" s="7" t="s">
        <v>37</v>
      </c>
      <c r="T23" s="7" t="s">
        <v>38</v>
      </c>
      <c r="U23" s="7" t="s">
        <v>117</v>
      </c>
      <c r="V23" s="7"/>
      <c r="W23" s="7"/>
      <c r="X23" s="7"/>
      <c r="Y23" s="7" t="s">
        <v>37</v>
      </c>
      <c r="Z23" s="7" t="s">
        <v>13</v>
      </c>
      <c r="AA23" s="7" t="s">
        <v>37</v>
      </c>
      <c r="AB23" s="7" t="s">
        <v>117</v>
      </c>
      <c r="AC23" s="7"/>
      <c r="AD23" s="7"/>
      <c r="AE23" s="7" t="s">
        <v>117</v>
      </c>
      <c r="AF23" s="204"/>
      <c r="AG23" s="191"/>
      <c r="AH23" s="191"/>
      <c r="AI23" s="191"/>
      <c r="AJ23" s="191"/>
      <c r="AK23" s="191"/>
      <c r="AL23" s="191"/>
      <c r="AM23" s="191"/>
      <c r="AN23" s="191"/>
      <c r="AO23" s="191"/>
      <c r="AP23" s="191"/>
    </row>
    <row r="24" spans="1:42" ht="20.5" x14ac:dyDescent="0.2">
      <c r="A24" t="s">
        <v>262</v>
      </c>
      <c r="B24" s="1" t="s">
        <v>409</v>
      </c>
      <c r="C24" s="1"/>
      <c r="D24" s="1"/>
      <c r="E24" s="1"/>
      <c r="F24" s="1"/>
      <c r="G24" s="1"/>
      <c r="H24" s="1" t="s">
        <v>409</v>
      </c>
      <c r="I24" s="1" t="s">
        <v>410</v>
      </c>
      <c r="J24" s="1"/>
      <c r="K24" s="1"/>
      <c r="L24" s="1"/>
      <c r="M24" s="1"/>
      <c r="N24" s="1" t="s">
        <v>411</v>
      </c>
      <c r="O24" s="1" t="s">
        <v>410</v>
      </c>
      <c r="P24" s="1"/>
      <c r="Q24" s="1" t="s">
        <v>409</v>
      </c>
      <c r="R24" s="1"/>
      <c r="S24" s="1"/>
      <c r="T24" s="1" t="s">
        <v>467</v>
      </c>
      <c r="U24" s="1"/>
      <c r="V24" s="1" t="s">
        <v>627</v>
      </c>
      <c r="W24" s="1"/>
      <c r="X24" s="1" t="s">
        <v>410</v>
      </c>
      <c r="Y24" s="1"/>
      <c r="Z24" s="1" t="s">
        <v>409</v>
      </c>
      <c r="AA24" s="1"/>
      <c r="AB24" s="1" t="s">
        <v>412</v>
      </c>
      <c r="AC24" s="1"/>
      <c r="AD24" s="1" t="s">
        <v>410</v>
      </c>
      <c r="AE24" s="1"/>
      <c r="AF24" s="198" t="s">
        <v>409</v>
      </c>
      <c r="AG24" s="185"/>
      <c r="AH24" s="185" t="s">
        <v>409</v>
      </c>
      <c r="AI24" s="185" t="s">
        <v>410</v>
      </c>
      <c r="AJ24" s="185" t="s">
        <v>410</v>
      </c>
      <c r="AK24" s="185"/>
      <c r="AL24" s="185" t="s">
        <v>627</v>
      </c>
      <c r="AM24" s="185"/>
      <c r="AN24" s="185" t="s">
        <v>410</v>
      </c>
      <c r="AO24" s="185"/>
      <c r="AP24" s="185" t="s">
        <v>410</v>
      </c>
    </row>
    <row r="27" spans="1:42" x14ac:dyDescent="0.2">
      <c r="A27" t="s">
        <v>425</v>
      </c>
      <c r="B27" t="str">
        <f t="shared" ref="B27:E27" si="0">SUBSTITUTE(SUBSTITUTE(SUBSTITUTE(SUBSTITUTE(SUBSTITUTE(SUBSTITUTE(B24,"〇","小児"),"●","循環呼吸"),"△","けが災害"),"■","消化器"),"□","精神"),"▲","ACS")</f>
        <v>小児</v>
      </c>
      <c r="C27" t="str">
        <f t="shared" si="0"/>
        <v/>
      </c>
      <c r="D27" t="str">
        <f t="shared" si="0"/>
        <v/>
      </c>
      <c r="E27" t="str">
        <f t="shared" si="0"/>
        <v/>
      </c>
      <c r="F27" t="str">
        <f>SUBSTITUTE(SUBSTITUTE(SUBSTITUTE(SUBSTITUTE(SUBSTITUTE(SUBSTITUTE(F24,"〇","小児"),"●","循環呼吸"),"△","けが災害"),"■","消化器"),"□","精神"),"▲","ACS")</f>
        <v/>
      </c>
      <c r="G27" t="str">
        <f t="shared" ref="G27:I27" si="1">SUBSTITUTE(SUBSTITUTE(SUBSTITUTE(SUBSTITUTE(SUBSTITUTE(SUBSTITUTE(G24,"〇","小児"),"●","循環呼吸"),"△","けが災害"),"■","消化器"),"□","精神"),"▲","ACS")</f>
        <v/>
      </c>
      <c r="H27" t="str">
        <f t="shared" si="1"/>
        <v>小児</v>
      </c>
      <c r="I27" t="str">
        <f t="shared" si="1"/>
        <v>ACS</v>
      </c>
      <c r="K27" t="str">
        <f t="shared" ref="K27:M27" si="2">SUBSTITUTE(SUBSTITUTE(SUBSTITUTE(SUBSTITUTE(SUBSTITUTE(SUBSTITUTE(K24,"〇","小児"),"●","循環呼吸"),"△","けが災害"),"■","消化器"),"□","精神"),"▲","ACS")</f>
        <v/>
      </c>
      <c r="L27" t="str">
        <f t="shared" si="2"/>
        <v/>
      </c>
      <c r="M27" t="str">
        <f t="shared" si="2"/>
        <v/>
      </c>
      <c r="N27" t="str">
        <f t="shared" ref="N27:P27" si="3">SUBSTITUTE(SUBSTITUTE(SUBSTITUTE(SUBSTITUTE(SUBSTITUTE(SUBSTITUTE(N24,"〇","小児"),"●","循環呼吸"),"△","けが災害"),"■","消化器"),"□","精神"),"▲","ACS")</f>
        <v>消化器</v>
      </c>
      <c r="O27" t="str">
        <f t="shared" si="3"/>
        <v>ACS</v>
      </c>
      <c r="P27" t="str">
        <f t="shared" si="3"/>
        <v/>
      </c>
      <c r="R27" t="str">
        <f t="shared" ref="R27:V27" si="4">SUBSTITUTE(SUBSTITUTE(SUBSTITUTE(SUBSTITUTE(SUBSTITUTE(SUBSTITUTE(R24,"〇","小児"),"●","循環呼吸"),"△","けが災害"),"■","消化器"),"□","精神"),"▲","ACS")</f>
        <v/>
      </c>
      <c r="S27" t="str">
        <f t="shared" si="4"/>
        <v/>
      </c>
      <c r="T27" t="str">
        <f t="shared" si="4"/>
        <v>精神</v>
      </c>
      <c r="U27" t="str">
        <f t="shared" si="4"/>
        <v/>
      </c>
      <c r="V27" t="str">
        <f t="shared" si="4"/>
        <v>小児ACS</v>
      </c>
      <c r="X27" t="str">
        <f t="shared" ref="X27:AB27" si="5">SUBSTITUTE(SUBSTITUTE(SUBSTITUTE(SUBSTITUTE(SUBSTITUTE(SUBSTITUTE(X24,"〇","小児"),"●","循環呼吸"),"△","けが災害"),"■","消化器"),"□","精神"),"▲","ACS")</f>
        <v>ACS</v>
      </c>
      <c r="Y27" t="str">
        <f t="shared" si="5"/>
        <v/>
      </c>
      <c r="Z27" t="str">
        <f t="shared" si="5"/>
        <v>小児</v>
      </c>
      <c r="AA27" t="str">
        <f t="shared" si="5"/>
        <v/>
      </c>
      <c r="AB27" t="str">
        <f t="shared" si="5"/>
        <v>循環呼吸</v>
      </c>
      <c r="AC27" t="str">
        <f t="shared" ref="AC27:AN27" si="6">SUBSTITUTE(SUBSTITUTE(SUBSTITUTE(SUBSTITUTE(SUBSTITUTE(SUBSTITUTE(AC24,"〇","小児"),"●","循環呼吸"),"△","けが災害"),"■","消化器"),"□","精神"),"▲","ACS")</f>
        <v/>
      </c>
      <c r="AD27" t="str">
        <f t="shared" si="6"/>
        <v>ACS</v>
      </c>
      <c r="AE27" t="str">
        <f t="shared" si="6"/>
        <v/>
      </c>
      <c r="AF27" t="str">
        <f t="shared" si="6"/>
        <v>小児</v>
      </c>
      <c r="AG27" t="str">
        <f t="shared" si="6"/>
        <v/>
      </c>
      <c r="AH27" t="str">
        <f t="shared" si="6"/>
        <v>小児</v>
      </c>
      <c r="AI27" t="str">
        <f t="shared" si="6"/>
        <v>ACS</v>
      </c>
      <c r="AJ27" t="str">
        <f t="shared" si="6"/>
        <v>ACS</v>
      </c>
      <c r="AK27" t="str">
        <f t="shared" si="6"/>
        <v/>
      </c>
      <c r="AL27" t="str">
        <f t="shared" si="6"/>
        <v>小児ACS</v>
      </c>
      <c r="AM27" t="str">
        <f t="shared" si="6"/>
        <v/>
      </c>
      <c r="AN27" t="str">
        <f t="shared" si="6"/>
        <v>ACS</v>
      </c>
      <c r="AP27" t="str">
        <f>SUBSTITUTE(SUBSTITUTE(SUBSTITUTE(SUBSTITUTE(SUBSTITUTE(SUBSTITUTE(AP24,"〇","小児"),"●","循環呼吸"),"△","けが災害"),"■","消化器"),"□","精神"),"▲","ACS")</f>
        <v>ACS</v>
      </c>
    </row>
    <row r="28" spans="1:42" ht="14" x14ac:dyDescent="0.2">
      <c r="A28" s="13" t="s">
        <v>292</v>
      </c>
    </row>
    <row r="29" spans="1:42" ht="14" x14ac:dyDescent="0.2">
      <c r="A29" s="13" t="s">
        <v>293</v>
      </c>
    </row>
    <row r="30" spans="1:42" ht="14" x14ac:dyDescent="0.2">
      <c r="A30" s="13" t="s">
        <v>294</v>
      </c>
    </row>
    <row r="31" spans="1:42" ht="14" x14ac:dyDescent="0.2">
      <c r="A31" s="13" t="s">
        <v>295</v>
      </c>
    </row>
    <row r="32" spans="1:42" ht="14" x14ac:dyDescent="0.2">
      <c r="A32" s="13" t="s">
        <v>296</v>
      </c>
    </row>
    <row r="33" spans="1:1" ht="14" x14ac:dyDescent="0.2">
      <c r="A33" s="13" t="s">
        <v>297</v>
      </c>
    </row>
  </sheetData>
  <phoneticPr fontId="7"/>
  <dataValidations count="1">
    <dataValidation allowBlank="1" showInputMessage="1" sqref="B20:V23 W20:AP23" xr:uid="{8CFAE432-9B23-40D1-BFDB-6BCAE6B0AB4E}">
      <formula1>0</formula1>
      <formula2>0</formula2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7</vt:i4>
      </vt:variant>
    </vt:vector>
  </HeadingPairs>
  <TitlesOfParts>
    <vt:vector size="15" baseType="lpstr">
      <vt:lpstr>2026-11</vt:lpstr>
      <vt:lpstr>2026-10</vt:lpstr>
      <vt:lpstr>2026-09</vt:lpstr>
      <vt:lpstr>2026-08</vt:lpstr>
      <vt:lpstr>2026-07</vt:lpstr>
      <vt:lpstr>2026-06</vt:lpstr>
      <vt:lpstr>2026-05</vt:lpstr>
      <vt:lpstr>work_当直割当表</vt:lpstr>
      <vt:lpstr>'2026-05'!Print_Area</vt:lpstr>
      <vt:lpstr>'2026-06'!Print_Area</vt:lpstr>
      <vt:lpstr>'2026-07'!Print_Area</vt:lpstr>
      <vt:lpstr>'2026-08'!Print_Area</vt:lpstr>
      <vt:lpstr>'2026-09'!Print_Area</vt:lpstr>
      <vt:lpstr>'2026-10'!Print_Area</vt:lpstr>
      <vt:lpstr>'2026-11'!Print_Area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坪谷 賢一</dc:creator>
  <cp:lastModifiedBy>坪谷 賢一</cp:lastModifiedBy>
  <cp:lastPrinted>2026-06-30T05:51:24Z</cp:lastPrinted>
  <dcterms:created xsi:type="dcterms:W3CDTF">2026-04-30T07:04:14Z</dcterms:created>
  <dcterms:modified xsi:type="dcterms:W3CDTF">2026-10-30T07:36:35Z</dcterms:modified>
</cp:coreProperties>
</file>